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Market" sheetId="3" state="visible" r:id="rId5"/>
    <sheet name="MtMilligan" sheetId="4" state="visible" r:id="rId6"/>
    <sheet name="Oksut" sheetId="5" state="visible" r:id="rId7"/>
    <sheet name="Goldfield" sheetId="6" state="visible" r:id="rId8"/>
    <sheet name="Caraiba" sheetId="7" state="visible" r:id="rId9"/>
    <sheet name="Tucuma" sheetId="8" state="visible" r:id="rId10"/>
    <sheet name="Xavantina" sheetId="9" state="visible" r:id="rId11"/>
    <sheet name="Corporate_NAV" sheetId="10" state="visible" r:id="rId12"/>
    <sheet name="Comps" sheetId="11" state="visible" r:id="rId13"/>
    <sheet name="Precedents" sheetId="12" state="visible" r:id="rId14"/>
    <sheet name="Synergies" sheetId="13" state="visible" r:id="rId15"/>
    <sheet name="Merger" sheetId="14" state="visible" r:id="rId16"/>
    <sheet name="Contribution" sheetId="15" state="visible" r:id="rId17"/>
    <sheet name="Scenarios" sheetId="16" state="visible" r:id="rId18"/>
    <sheet name="Sensitivity" sheetId="17" state="visible" r:id="rId19"/>
    <sheet name="Football_Field" sheetId="18" state="visible" r:id="rId20"/>
    <sheet name="Sources" sheetId="19" state="visible" r:id="rId21"/>
  </sheets>
  <definedNames>
    <definedName function="false" hidden="false" name="ACC_CFPS_2027" vbProcedure="false">Merger!$C$57</definedName>
    <definedName function="false" hidden="false" name="ACC_CFPS_2028" vbProcedure="false">Merger!$D$57</definedName>
    <definedName function="false" hidden="false" name="ACC_EPS_2027" vbProcedure="false">Merger!$C$53</definedName>
    <definedName function="false" hidden="false" name="ACC_EPS_2028" vbProcedure="false">Merger!$D$53</definedName>
    <definedName function="false" hidden="false" name="ACC_NAVPS" vbProcedure="false">Merger!$C$68</definedName>
    <definedName function="false" hidden="false" name="ACC_NAVPS_EX_SYN" vbProcedure="false">Merger!$C$69</definedName>
    <definedName function="false" hidden="false" name="Caraiba_AISC_LOM" vbProcedure="false">Caraiba!$C$66</definedName>
    <definedName function="false" hidden="false" name="Caraiba_AISC_Y1" vbProcedure="false">Caraiba!$C$65</definedName>
    <definedName function="false" hidden="false" name="Caraiba_LIFE" vbProcedure="false">Caraiba!$C$64</definedName>
    <definedName function="false" hidden="false" name="Caraiba_NAV" vbProcedure="false">Caraiba!$C$63</definedName>
    <definedName function="false" hidden="false" name="Caraiba_NPV" vbProcedure="false">Caraiba!$C$62</definedName>
    <definedName function="false" hidden="false" name="CG_ASSET_NAV" vbProcedure="false">Corporate_NAV!$C$11</definedName>
    <definedName function="false" hidden="false" name="CG_CASH" vbProcedure="false">Corporate_NAV!$C$15</definedName>
    <definedName function="false" hidden="false" name="CG_CFO_2027" vbProcedure="false">Corporate_NAV!$C$39</definedName>
    <definedName function="false" hidden="false" name="CG_CFO_2028" vbProcedure="false">Corporate_NAV!$D$39</definedName>
    <definedName function="false" hidden="false" name="CG_CFPS_2027" vbProcedure="false">Corporate_NAV!$C$40</definedName>
    <definedName function="false" hidden="false" name="CG_CFPS_2028" vbProcedure="false">Corporate_NAV!$D$40</definedName>
    <definedName function="false" hidden="false" name="CG_DEBT" vbProcedure="false">Corporate_NAV!$C$16</definedName>
    <definedName function="false" hidden="false" name="CG_EBITDA_2027" vbProcedure="false">Corporate_NAV!$C$31</definedName>
    <definedName function="false" hidden="false" name="CG_EBITDA_2028" vbProcedure="false">Corporate_NAV!$D$31</definedName>
    <definedName function="false" hidden="false" name="CG_EPS_2027" vbProcedure="false">Corporate_NAV!$C$37</definedName>
    <definedName function="false" hidden="false" name="CG_EPS_2028" vbProcedure="false">Corporate_NAV!$D$37</definedName>
    <definedName function="false" hidden="false" name="CG_GA" vbProcedure="false">Corporate_NAV!$C$12</definedName>
    <definedName function="false" hidden="false" name="CG_HEDGES" vbProcedure="false">Corporate_NAV!$C$14</definedName>
    <definedName function="false" hidden="false" name="CG_NAV" vbProcedure="false">Corporate_NAV!$C$17</definedName>
    <definedName function="false" hidden="false" name="CG_NAVPS_CAD" vbProcedure="false">Corporate_NAV!$C$20</definedName>
    <definedName function="false" hidden="false" name="CG_NAVPS_USD" vbProcedure="false">Corporate_NAV!$C$19</definedName>
    <definedName function="false" hidden="false" name="CG_NI_2027" vbProcedure="false">Corporate_NAV!$C$36</definedName>
    <definedName function="false" hidden="false" name="CG_NI_2028" vbProcedure="false">Corporate_NAV!$D$36</definedName>
    <definedName function="false" hidden="false" name="CG_OTHER" vbProcedure="false">Corporate_NAV!$C$13</definedName>
    <definedName function="false" hidden="false" name="CG_PNAV" vbProcedure="false">Corporate_NAV!$C$22</definedName>
    <definedName function="false" hidden="false" name="CG_PRICE_CAD" vbProcedure="false">Corporate_NAV!$C$21</definedName>
    <definedName function="false" hidden="false" name="CG_SHARES" vbProcedure="false">Corporate_NAV!$C$18</definedName>
    <definedName function="false" hidden="false" name="COMPS_EVLB_MEAN" vbProcedure="false">Comps!$M$18</definedName>
    <definedName function="false" hidden="false" name="COMPS_EVLB_MED" vbProcedure="false">Comps!$M$19</definedName>
    <definedName function="false" hidden="false" name="COMPS_EVLB_Q1" vbProcedure="false">Comps!$M$20</definedName>
    <definedName function="false" hidden="false" name="COMPS_EVLB_Q3" vbProcedure="false">Comps!$M$21</definedName>
    <definedName function="false" hidden="false" name="COMPS_EV_EBITDA_MEAN" vbProcedure="false">Comps!$H$18</definedName>
    <definedName function="false" hidden="false" name="COMPS_EV_EBITDA_MED" vbProcedure="false">Comps!$H$19</definedName>
    <definedName function="false" hidden="false" name="COMPS_EV_EBITDA_Q1" vbProcedure="false">Comps!$H$20</definedName>
    <definedName function="false" hidden="false" name="COMPS_EV_EBITDA_Q3" vbProcedure="false">Comps!$H$21</definedName>
    <definedName function="false" hidden="false" name="COMPS_PCF_MEAN" vbProcedure="false">Comps!$I$18</definedName>
    <definedName function="false" hidden="false" name="COMPS_PCF_MED" vbProcedure="false">Comps!$I$19</definedName>
    <definedName function="false" hidden="false" name="COMPS_PCF_Q1" vbProcedure="false">Comps!$I$20</definedName>
    <definedName function="false" hidden="false" name="COMPS_PCF_Q3" vbProcedure="false">Comps!$I$21</definedName>
    <definedName function="false" hidden="false" name="COMPS_PNAV_MEAN" vbProcedure="false">Comps!$J$18</definedName>
    <definedName function="false" hidden="false" name="COMPS_PNAV_MED" vbProcedure="false">Comps!$J$19</definedName>
    <definedName function="false" hidden="false" name="COMPS_PNAV_Q1" vbProcedure="false">Comps!$J$20</definedName>
    <definedName function="false" hidden="false" name="COMPS_PNAV_Q3" vbProcedure="false">Comps!$J$21</definedName>
    <definedName function="false" hidden="false" name="COMPS_PTGT_MEAN" vbProcedure="false">Comps!$K$18</definedName>
    <definedName function="false" hidden="false" name="COMPS_PTGT_MED" vbProcedure="false">Comps!$K$19</definedName>
    <definedName function="false" hidden="false" name="COMPS_PTGT_Q1" vbProcedure="false">Comps!$K$20</definedName>
    <definedName function="false" hidden="false" name="COMPS_PTGT_Q3" vbProcedure="false">Comps!$K$21</definedName>
    <definedName function="false" hidden="false" name="DEAL_CASE" vbProcedure="false">Merger!$C$6</definedName>
    <definedName function="false" hidden="false" name="DEAL_CASH_NEED" vbProcedure="false">Merger!$C$33</definedName>
    <definedName function="false" hidden="false" name="DEAL_CASH_PCT" vbProcedure="false">Merger!$C$22</definedName>
    <definedName function="false" hidden="false" name="DEAL_CASH_PCT_INPUT" vbProcedure="false">Merger!$C$7</definedName>
    <definedName function="false" hidden="false" name="DEAL_CASH_PS" vbProcedure="false">Merger!$C$23</definedName>
    <definedName function="false" hidden="false" name="DEAL_CASH_USD" vbProcedure="false">Merger!$C$27</definedName>
    <definedName function="false" hidden="false" name="DEAL_CASH_USED" vbProcedure="false">Merger!$C$34</definedName>
    <definedName function="false" hidden="false" name="DEAL_CASH_YIELD" vbProcedure="false">Merger!$C$10</definedName>
    <definedName function="false" hidden="false" name="DEAL_DEBT_RATE" vbProcedure="false">Merger!$C$9</definedName>
    <definedName function="false" hidden="false" name="DEAL_EQUITY_USD" vbProcedure="false">Merger!$C$26</definedName>
    <definedName function="false" hidden="false" name="DEAL_ER" vbProcedure="false">Merger!$C$24</definedName>
    <definedName function="false" hidden="false" name="DEAL_EV_EBITDA" vbProcedure="false">Merger!$C$32</definedName>
    <definedName function="false" hidden="false" name="DEAL_EV_USD" vbProcedure="false">Merger!$C$30</definedName>
    <definedName function="false" hidden="false" name="DEAL_INTEGRATION_X" vbProcedure="false">Merger!$C$15</definedName>
    <definedName function="false" hidden="false" name="DEAL_MIN_CASH" vbProcedure="false">Merger!$C$8</definedName>
    <definedName function="false" hidden="false" name="DEAL_NET_DEBT" vbProcedure="false">Merger!$C$29</definedName>
    <definedName function="false" hidden="false" name="DEAL_NEW_DEBT" vbProcedure="false">Merger!$C$35</definedName>
    <definedName function="false" hidden="false" name="DEAL_NEW_SHARES" vbProcedure="false">Merger!$C$25</definedName>
    <definedName function="false" hidden="false" name="DEAL_OFFER_CAD" vbProcedure="false">Merger!$C$21</definedName>
    <definedName function="false" hidden="false" name="DEAL_PHASE_Y1" vbProcedure="false">Merger!$C$13</definedName>
    <definedName function="false" hidden="false" name="DEAL_PHASE_Y2" vbProcedure="false">Merger!$C$14</definedName>
    <definedName function="false" hidden="false" name="DEAL_PNAV" vbProcedure="false">Merger!$C$31</definedName>
    <definedName function="false" hidden="false" name="DEAL_PREMIUM" vbProcedure="false">Merger!$C$5</definedName>
    <definedName function="false" hidden="false" name="DEAL_STOCK_USD" vbProcedure="false">Merger!$C$28</definedName>
    <definedName function="false" hidden="false" name="DEAL_SYN_RATE" vbProcedure="false">Merger!$C$17</definedName>
    <definedName function="false" hidden="false" name="DEAL_SYN_YEARS" vbProcedure="false">Merger!$C$16</definedName>
    <definedName function="false" hidden="false" name="DEAL_TAX" vbProcedure="false">Merger!$C$12</definedName>
    <definedName function="false" hidden="false" name="DEAL_TXN_COSTS" vbProcedure="false">Merger!$C$11</definedName>
    <definedName function="false" hidden="false" name="DEAL_UNAFFECTED" vbProcedure="false">Merger!$C$20</definedName>
    <definedName function="false" hidden="false" name="ERO_ASSET_NAV" vbProcedure="false">Corporate_NAV!$D$11</definedName>
    <definedName function="false" hidden="false" name="ERO_CASH" vbProcedure="false">Corporate_NAV!$D$15</definedName>
    <definedName function="false" hidden="false" name="ERO_CFO_2027" vbProcedure="false">Corporate_NAV!$E$39</definedName>
    <definedName function="false" hidden="false" name="ERO_CFO_2028" vbProcedure="false">Corporate_NAV!$F$39</definedName>
    <definedName function="false" hidden="false" name="ERO_CFPS_2027" vbProcedure="false">Corporate_NAV!$E$40</definedName>
    <definedName function="false" hidden="false" name="ERO_CFPS_2028" vbProcedure="false">Corporate_NAV!$F$40</definedName>
    <definedName function="false" hidden="false" name="ERO_DEBT" vbProcedure="false">Corporate_NAV!$D$16</definedName>
    <definedName function="false" hidden="false" name="ERO_EBITDA_2027" vbProcedure="false">Corporate_NAV!$E$31</definedName>
    <definedName function="false" hidden="false" name="ERO_EBITDA_2028" vbProcedure="false">Corporate_NAV!$F$31</definedName>
    <definedName function="false" hidden="false" name="ERO_EPS_2027" vbProcedure="false">Corporate_NAV!$E$37</definedName>
    <definedName function="false" hidden="false" name="ERO_EPS_2028" vbProcedure="false">Corporate_NAV!$F$37</definedName>
    <definedName function="false" hidden="false" name="ERO_GA" vbProcedure="false">Corporate_NAV!$D$12</definedName>
    <definedName function="false" hidden="false" name="ERO_HEDGES" vbProcedure="false">Corporate_NAV!$D$14</definedName>
    <definedName function="false" hidden="false" name="ERO_NAV" vbProcedure="false">Corporate_NAV!$D$17</definedName>
    <definedName function="false" hidden="false" name="ERO_NAVPS_CAD" vbProcedure="false">Corporate_NAV!$D$20</definedName>
    <definedName function="false" hidden="false" name="ERO_NAVPS_USD" vbProcedure="false">Corporate_NAV!$D$19</definedName>
    <definedName function="false" hidden="false" name="ERO_NI_2027" vbProcedure="false">Corporate_NAV!$E$36</definedName>
    <definedName function="false" hidden="false" name="ERO_NI_2028" vbProcedure="false">Corporate_NAV!$F$36</definedName>
    <definedName function="false" hidden="false" name="ERO_OTHER" vbProcedure="false">Corporate_NAV!$D$13</definedName>
    <definedName function="false" hidden="false" name="ERO_PNAV" vbProcedure="false">Corporate_NAV!$D$22</definedName>
    <definedName function="false" hidden="false" name="ERO_PRICE_CAD" vbProcedure="false">Corporate_NAV!$D$21</definedName>
    <definedName function="false" hidden="false" name="ERO_SHARES" vbProcedure="false">Corporate_NAV!$D$18</definedName>
    <definedName function="false" hidden="false" name="FF_EVEBITDA_HIGH" vbProcedure="false">Football_Field!$D$7</definedName>
    <definedName function="false" hidden="false" name="FF_EVEBITDA_LOW" vbProcedure="false">Football_Field!$C$7</definedName>
    <definedName function="false" hidden="false" name="FF_EVLB_HIGH" vbProcedure="false">Football_Field!$D$9</definedName>
    <definedName function="false" hidden="false" name="FF_EVLB_LOW" vbProcedure="false">Football_Field!$C$9</definedName>
    <definedName function="false" hidden="false" name="FF_NAVREL_HIGH" vbProcedure="false">Football_Field!$D$11</definedName>
    <definedName function="false" hidden="false" name="FF_NAVREL_LOW" vbProcedure="false">Football_Field!$C$11</definedName>
    <definedName function="false" hidden="false" name="FF_NAV_HIGH" vbProcedure="false">Football_Field!$D$12</definedName>
    <definedName function="false" hidden="false" name="FF_NAV_LOW" vbProcedure="false">Football_Field!$C$12</definedName>
    <definedName function="false" hidden="false" name="FF_PCF_HIGH" vbProcedure="false">Football_Field!$D$8</definedName>
    <definedName function="false" hidden="false" name="FF_PCF_LOW" vbProcedure="false">Football_Field!$C$8</definedName>
    <definedName function="false" hidden="false" name="FF_PREC_HIGH" vbProcedure="false">Football_Field!$D$10</definedName>
    <definedName function="false" hidden="false" name="FF_PREC_LOW" vbProcedure="false">Football_Field!$C$10</definedName>
    <definedName function="false" hidden="false" name="FF_TARGETS_HIGH" vbProcedure="false">Football_Field!$D$6</definedName>
    <definedName function="false" hidden="false" name="FF_TARGETS_LOW" vbProcedure="false">Football_Field!$C$6</definedName>
    <definedName function="false" hidden="false" name="FF_WK52_HIGH" vbProcedure="false">Football_Field!$D$5</definedName>
    <definedName function="false" hidden="false" name="FF_WK52_LOW" vbProcedure="false">Football_Field!$C$5</definedName>
    <definedName function="false" hidden="false" name="FX_SPOT" vbProcedure="false">Inputs!$C$7</definedName>
    <definedName function="false" hidden="false" name="Goldfield_AISC_LOM" vbProcedure="false">Goldfield!$C$66</definedName>
    <definedName function="false" hidden="false" name="Goldfield_AISC_Y1" vbProcedure="false">Goldfield!$C$65</definedName>
    <definedName function="false" hidden="false" name="Goldfield_LIFE" vbProcedure="false">Goldfield!$C$64</definedName>
    <definedName function="false" hidden="false" name="Goldfield_NAV" vbProcedure="false">Goldfield!$C$63</definedName>
    <definedName function="false" hidden="false" name="Goldfield_NPV" vbProcedure="false">Goldfield!$C$62</definedName>
    <definedName function="false" hidden="false" name="MtMilligan_AISC_LOM" vbProcedure="false">MtMilligan!$C$66</definedName>
    <definedName function="false" hidden="false" name="MtMilligan_AISC_Y1" vbProcedure="false">MtMilligan!$C$65</definedName>
    <definedName function="false" hidden="false" name="MtMilligan_LIFE" vbProcedure="false">MtMilligan!$C$64</definedName>
    <definedName function="false" hidden="false" name="MtMilligan_NAV" vbProcedure="false">MtMilligan!$C$63</definedName>
    <definedName function="false" hidden="false" name="MtMilligan_NPV" vbProcedure="false">MtMilligan!$C$62</definedName>
    <definedName function="false" hidden="false" name="Oksut_AISC_LOM" vbProcedure="false">Oksut!$C$66</definedName>
    <definedName function="false" hidden="false" name="Oksut_AISC_Y1" vbProcedure="false">Oksut!$C$65</definedName>
    <definedName function="false" hidden="false" name="Oksut_LIFE" vbProcedure="false">Oksut!$C$64</definedName>
    <definedName function="false" hidden="false" name="Oksut_NAV" vbProcedure="false">Oksut!$C$63</definedName>
    <definedName function="false" hidden="false" name="Oksut_NPV" vbProcedure="false">Oksut!$C$62</definedName>
    <definedName function="false" hidden="false" name="PF_CASH_COST_2027" vbProcedure="false">Merger!$C$49</definedName>
    <definedName function="false" hidden="false" name="PF_CASH_COST_2028" vbProcedure="false">Merger!$D$49</definedName>
    <definedName function="false" hidden="false" name="PF_CFO_2027" vbProcedure="false">Merger!$C$54</definedName>
    <definedName function="false" hidden="false" name="PF_CFO_2028" vbProcedure="false">Merger!$D$54</definedName>
    <definedName function="false" hidden="false" name="PF_CFPS_2027" vbProcedure="false">Merger!$C$56</definedName>
    <definedName function="false" hidden="false" name="PF_CFPS_2028" vbProcedure="false">Merger!$D$56</definedName>
    <definedName function="false" hidden="false" name="PF_DEBT_COST_2027" vbProcedure="false">Merger!$C$48</definedName>
    <definedName function="false" hidden="false" name="PF_DEBT_COST_2028" vbProcedure="false">Merger!$D$48</definedName>
    <definedName function="false" hidden="false" name="PF_EBITDA_2027" vbProcedure="false">Merger!$C$58</definedName>
    <definedName function="false" hidden="false" name="PF_EBITDA_2028" vbProcedure="false">Merger!$D$58</definedName>
    <definedName function="false" hidden="false" name="PF_EPS_2027" vbProcedure="false">Merger!$C$52</definedName>
    <definedName function="false" hidden="false" name="PF_EPS_2028" vbProcedure="false">Merger!$D$52</definedName>
    <definedName function="false" hidden="false" name="PF_LEVERAGE" vbProcedure="false">Merger!$C$71</definedName>
    <definedName function="false" hidden="false" name="PF_NAV" vbProcedure="false">Merger!$C$65</definedName>
    <definedName function="false" hidden="false" name="PF_NAVPS" vbProcedure="false">Merger!$C$66</definedName>
    <definedName function="false" hidden="false" name="PF_NET_DEBT" vbProcedure="false">Merger!$C$70</definedName>
    <definedName function="false" hidden="false" name="PF_NI_2027" vbProcedure="false">Merger!$C$50</definedName>
    <definedName function="false" hidden="false" name="PF_NI_2028" vbProcedure="false">Merger!$D$50</definedName>
    <definedName function="false" hidden="false" name="PF_OWN_CG" vbProcedure="false">Merger!$C$40</definedName>
    <definedName function="false" hidden="false" name="PF_OWN_ERO" vbProcedure="false">Merger!$C$41</definedName>
    <definedName function="false" hidden="false" name="PF_SHARES" vbProcedure="false">Merger!$C$39</definedName>
    <definedName function="false" hidden="false" name="PF_SYN_2027" vbProcedure="false">Merger!$C$46</definedName>
    <definedName function="false" hidden="false" name="PF_SYN_2028" vbProcedure="false">Merger!$D$46</definedName>
    <definedName function="false" hidden="false" name="PF_SYN_AT_2027" vbProcedure="false">Merger!$C$47</definedName>
    <definedName function="false" hidden="false" name="PF_SYN_AT_2028" vbProcedure="false">Merger!$D$47</definedName>
    <definedName function="false" hidden="false" name="PREC_EVOZ_MEAN" vbProcedure="false">Precedents!$K$15</definedName>
    <definedName function="false" hidden="false" name="PREC_EVOZ_MED" vbProcedure="false">Precedents!$K$16</definedName>
    <definedName function="false" hidden="false" name="PREC_EVOZ_Q1" vbProcedure="false">Precedents!$K$17</definedName>
    <definedName function="false" hidden="false" name="PREC_EVOZ_Q3" vbProcedure="false">Precedents!$K$18</definedName>
    <definedName function="false" hidden="false" name="PREC_PNAV_MEAN" vbProcedure="false">Precedents!$I$15</definedName>
    <definedName function="false" hidden="false" name="PREC_PNAV_MED" vbProcedure="false">Precedents!$I$16</definedName>
    <definedName function="false" hidden="false" name="PREC_PNAV_Q1" vbProcedure="false">Precedents!$I$17</definedName>
    <definedName function="false" hidden="false" name="PREC_PNAV_Q3" vbProcedure="false">Precedents!$I$18</definedName>
    <definedName function="false" hidden="false" name="PREC_PREM_MEAN" vbProcedure="false">Precedents!$H$15</definedName>
    <definedName function="false" hidden="false" name="PREC_PREM_MED" vbProcedure="false">Precedents!$H$16</definedName>
    <definedName function="false" hidden="false" name="PREC_PREM_Q1" vbProcedure="false">Precedents!$H$17</definedName>
    <definedName function="false" hidden="false" name="PREC_PREM_Q3" vbProcedure="false">Precedents!$H$18</definedName>
    <definedName function="false" hidden="false" name="SA_NI_2027" vbProcedure="false">Merger!$C$44</definedName>
    <definedName function="false" hidden="false" name="SA_NI_2028" vbProcedure="false">Merger!$D$44</definedName>
    <definedName function="false" hidden="false" name="SCEN_CU_400_ROW" vbProcedure="false">Scenarios!$B$8</definedName>
    <definedName function="false" hidden="false" name="SCEN_CU_450_ROW" vbProcedure="false">Scenarios!$B$9</definedName>
    <definedName function="false" hidden="false" name="SCEN_CU_500_ROW" vbProcedure="false">Scenarios!$B$10</definedName>
    <definedName function="false" hidden="false" name="SCEN_CU_550_ROW" vbProcedure="false">Scenarios!$B$11</definedName>
    <definedName function="false" hidden="false" name="SCEN_CU_600_ROW" vbProcedure="false">Scenarios!$B$12</definedName>
    <definedName function="false" hidden="false" name="SCEN_CU_650_ROW" vbProcedure="false">Scenarios!$B$13</definedName>
    <definedName function="false" hidden="false" name="SCEN_DECK_ROW" vbProcedure="false">Scenarios!$B$6</definedName>
    <definedName function="false" hidden="false" name="SCEN_SPOT_ROW" vbProcedure="false">Scenarios!$B$7</definedName>
    <definedName function="false" hidden="false" name="SYN_2027" vbProcedure="false">Synergies!$C$11</definedName>
    <definedName function="false" hidden="false" name="SYN_2028" vbProcedure="false">Synergies!$C$12</definedName>
    <definedName function="false" hidden="false" name="SYN_INTEGRATION" vbProcedure="false">Synergies!$C$13</definedName>
    <definedName function="false" hidden="false" name="SYN_NPV" vbProcedure="false">Synergies!$C$14</definedName>
    <definedName function="false" hidden="false" name="SYN_NPV_PS" vbProcedure="false">Synergies!$C$15</definedName>
    <definedName function="false" hidden="false" name="SYN_RUNRATE" vbProcedure="false">Synergies!$C$8</definedName>
    <definedName function="false" hidden="false" name="Tucuma_AISC_LOM" vbProcedure="false">Tucuma!$C$66</definedName>
    <definedName function="false" hidden="false" name="Tucuma_AISC_Y1" vbProcedure="false">Tucuma!$C$65</definedName>
    <definedName function="false" hidden="false" name="Tucuma_LIFE" vbProcedure="false">Tucuma!$C$64</definedName>
    <definedName function="false" hidden="false" name="Tucuma_NAV" vbProcedure="false">Tucuma!$C$63</definedName>
    <definedName function="false" hidden="false" name="Tucuma_NPV" vbProcedure="false">Tucuma!$C$62</definedName>
    <definedName function="false" hidden="false" name="Xavantina_AISC_LOM" vbProcedure="false">Xavantina!$C$66</definedName>
    <definedName function="false" hidden="false" name="Xavantina_AISC_Y1" vbProcedure="false">Xavantina!$C$65</definedName>
    <definedName function="false" hidden="false" name="Xavantina_LIFE" vbProcedure="false">Xavantina!$C$64</definedName>
    <definedName function="false" hidden="false" name="Xavantina_NAV" vbProcedure="false">Xavantina!$C$63</definedName>
    <definedName function="false" hidden="false" name="Xavantina_NPV" vbProcedure="false">Xavantina!$C$62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<sst xmlns="http://schemas.openxmlformats.org/spreadsheetml/2006/main" count="1461" uniqueCount="678">
  <si>
    <t xml:space="preserve">Project Lodestone — Centerra Gold / Ero Copper</t>
  </si>
  <si>
    <t xml:space="preserve">Hypothetical buy-side merger analysis. Public information only. Not investment advice. Not affiliated with any bank. See DISCLAIMER.md.</t>
  </si>
  <si>
    <t xml:space="preserve">Tab</t>
  </si>
  <si>
    <t xml:space="preserve">Contents</t>
  </si>
  <si>
    <t xml:space="preserve">Inputs</t>
  </si>
  <si>
    <t xml:space="preserve">Price deck, FX, price-case selectors, discount rates</t>
  </si>
  <si>
    <t xml:space="preserve">Market</t>
  </si>
  <si>
    <t xml:space="preserve">yfinance snapshot: prices, shares, balance sheet, TTM metrics</t>
  </si>
  <si>
    <t xml:space="preserve">MtMilligan … Xavantina</t>
  </si>
  <si>
    <t xml:space="preserve">One life-of-mine NAV model per asset</t>
  </si>
  <si>
    <t xml:space="preserve">Corporate_NAV</t>
  </si>
  <si>
    <t xml:space="preserve">NAV roll-up, NAV per share, P/NAV and 2027–28E financial summary</t>
  </si>
  <si>
    <t xml:space="preserve">Comps</t>
  </si>
  <si>
    <t xml:space="preserve">Peer trading multiples (written by scripts/build_comps.py)</t>
  </si>
  <si>
    <t xml:space="preserve">Precedents</t>
  </si>
  <si>
    <t xml:space="preserve">Copper and gold M&amp;A precedents: premiums, P/NAV, value per reserve ounce</t>
  </si>
  <si>
    <t xml:space="preserve">Synergies</t>
  </si>
  <si>
    <t xml:space="preserve">US$155M run-rate synergy case, phase-in and NPV</t>
  </si>
  <si>
    <t xml:space="preserve">Merger</t>
  </si>
  <si>
    <t xml:space="preserve">Offer, exchange ratio, funding, ownership, accretion/dilution to EPS, CFPS and NAVPS</t>
  </si>
  <si>
    <t xml:space="preserve">Contribution</t>
  </si>
  <si>
    <t xml:space="preserve">Contribution analysis versus pro forma ownership</t>
  </si>
  <si>
    <t xml:space="preserve">Scenarios</t>
  </si>
  <si>
    <t xml:space="preserve">Outputs under each price case (filled by scripts/run_scenarios.py)</t>
  </si>
  <si>
    <t xml:space="preserve">Sensitivity</t>
  </si>
  <si>
    <t xml:space="preserve">Premium vs copper price; synergies vs consideration mix</t>
  </si>
  <si>
    <t xml:space="preserve">Football_Field</t>
  </si>
  <si>
    <t xml:space="preserve">Ero valuation ranges by method against the offer price</t>
  </si>
  <si>
    <t xml:space="preserve">Sources</t>
  </si>
  <si>
    <t xml:space="preserve">Every filing behind the inputs, with verification status</t>
  </si>
  <si>
    <t xml:space="preserve">Colour legend</t>
  </si>
  <si>
    <t xml:space="preserve">Meaning</t>
  </si>
  <si>
    <t xml:space="preserve">Blue text</t>
  </si>
  <si>
    <t xml:space="preserve">Hardcoded input (from a CSV under data/)</t>
  </si>
  <si>
    <t xml:space="preserve">Black text</t>
  </si>
  <si>
    <t xml:space="preserve">Formula</t>
  </si>
  <si>
    <t xml:space="preserve">Green text</t>
  </si>
  <si>
    <t xml:space="preserve">Link to another tab</t>
  </si>
  <si>
    <t xml:space="preserve">Yellow fill</t>
  </si>
  <si>
    <t xml:space="preserve">Key assumption or scenario lever</t>
  </si>
  <si>
    <t xml:space="preserve">Rebuild</t>
  </si>
  <si>
    <t xml:space="preserve">make model  (fetch data → build workbook → comps → scenarios → recalculate)</t>
  </si>
  <si>
    <t xml:space="preserve">Market snapshot</t>
  </si>
  <si>
    <t xml:space="preserve">20261025T0009Z</t>
  </si>
  <si>
    <t xml:space="preserve">Price deck, FX, price-case selectors and discount rates. Edit blue cells (or the CSVs under data/ and rebuild).</t>
  </si>
  <si>
    <t xml:space="preserve">Spot market (yfinance snapshot 20261025T0009Z)</t>
  </si>
  <si>
    <t xml:space="preserve">Copper spot (COMEX HG)</t>
  </si>
  <si>
    <t xml:space="preserve">US$/lb</t>
  </si>
  <si>
    <t xml:space="preserve">Source: MKT-YF (data/market/latest_macro.csv)</t>
  </si>
  <si>
    <t xml:space="preserve">Gold spot (COMEX GC)</t>
  </si>
  <si>
    <t xml:space="preserve">US$/oz</t>
  </si>
  <si>
    <t xml:space="preserve">CAD/USD spot</t>
  </si>
  <si>
    <t xml:space="preserve">US$ per C$</t>
  </si>
  <si>
    <t xml:space="preserve">Price case selectors (1 = analyst deck, 2 = spot held flat, 3 = custom flat)</t>
  </si>
  <si>
    <t xml:space="preserve">Copper price case</t>
  </si>
  <si>
    <t xml:space="preserve">Gold price case</t>
  </si>
  <si>
    <t xml:space="preserve">Custom copper price (US$/lb)</t>
  </si>
  <si>
    <t xml:space="preserve">Custom gold price (US$/oz)</t>
  </si>
  <si>
    <t xml:space="preserve">Price deck</t>
  </si>
  <si>
    <t xml:space="preserve">Source</t>
  </si>
  <si>
    <t xml:space="preserve">Copper deck (US$/lb)</t>
  </si>
  <si>
    <t xml:space="preserve">data/price_deck.csv; last deck year held flat</t>
  </si>
  <si>
    <t xml:space="preserve">Gold deck (US$/oz)</t>
  </si>
  <si>
    <t xml:space="preserve">Copper price used in model (US$/lb)</t>
  </si>
  <si>
    <t xml:space="preserve">CHOOSE(case, deck, spot, custom)</t>
  </si>
  <si>
    <t xml:space="preserve">Gold price used in model (US$/oz)</t>
  </si>
  <si>
    <t xml:space="preserve">Discount rate (real)</t>
  </si>
  <si>
    <t xml:space="preserve">Rate</t>
  </si>
  <si>
    <t xml:space="preserve">Rationale</t>
  </si>
  <si>
    <t xml:space="preserve">Mount Milligan</t>
  </si>
  <si>
    <t xml:space="preserve">Blended: roughly 50/50 gold/copper revenue after the Royal Gold stream, midway between 5% gold and 8% copper conventions</t>
  </si>
  <si>
    <t xml:space="preserve">Öksüt</t>
  </si>
  <si>
    <t xml:space="preserve">Gold heap leach; sell-side gold convention (5% real)</t>
  </si>
  <si>
    <t xml:space="preserve">Goldfield</t>
  </si>
  <si>
    <t xml:space="preserve">Gold heap leach development in Nevada; 5% real gold convention</t>
  </si>
  <si>
    <t xml:space="preserve">Caraíba</t>
  </si>
  <si>
    <t xml:space="preserve">Copper concentrator; sell-side copper convention (8% real)</t>
  </si>
  <si>
    <t xml:space="preserve">Tucumã</t>
  </si>
  <si>
    <t xml:space="preserve">Xavantina</t>
  </si>
  <si>
    <t xml:space="preserve">Underground gold; 5% real gold convention</t>
  </si>
  <si>
    <t xml:space="preserve">Corporate</t>
  </si>
  <si>
    <t xml:space="preserve">G&amp;A capitalisation (years)</t>
  </si>
  <si>
    <t xml:space="preserve">G&amp;A discount rate</t>
  </si>
  <si>
    <t xml:space="preserve">Market data</t>
  </si>
  <si>
    <t xml:space="preserve">yfinance snapshot 20261025T0009Z (scripts/fetch_market_data.py). Balance sheet and TTM figures converted to US$M.</t>
  </si>
  <si>
    <t xml:space="preserve">Ticker</t>
  </si>
  <si>
    <t xml:space="preserve">Company</t>
  </si>
  <si>
    <t xml:space="preserve">Price (C$)</t>
  </si>
  <si>
    <t xml:space="preserve">Shares (M)</t>
  </si>
  <si>
    <t xml:space="preserve">Mkt cap (US$M)</t>
  </si>
  <si>
    <t xml:space="preserve">Cash (US$M)</t>
  </si>
  <si>
    <t xml:space="preserve">Debt (US$M)</t>
  </si>
  <si>
    <t xml:space="preserve">EV (US$M)</t>
  </si>
  <si>
    <t xml:space="preserve">EBITDA TTM (US$M)</t>
  </si>
  <si>
    <t xml:space="preserve">CFO TTM (US$M)</t>
  </si>
  <si>
    <t xml:space="preserve">EPS TTM (US$)</t>
  </si>
  <si>
    <t xml:space="preserve">52w low (C$)</t>
  </si>
  <si>
    <t xml:space="preserve">52w high (C$)</t>
  </si>
  <si>
    <t xml:space="preserve">Target low (C$)</t>
  </si>
  <si>
    <t xml:space="preserve">Target mean (C$)</t>
  </si>
  <si>
    <t xml:space="preserve">Target high (C$)</t>
  </si>
  <si>
    <t xml:space="preserve">CG.TO</t>
  </si>
  <si>
    <t xml:space="preserve">Centerra Gold</t>
  </si>
  <si>
    <t xml:space="preserve">ERO.TO</t>
  </si>
  <si>
    <t xml:space="preserve">Ero Copper</t>
  </si>
  <si>
    <t xml:space="preserve">CS.TO</t>
  </si>
  <si>
    <t xml:space="preserve">Capstone Copper</t>
  </si>
  <si>
    <t xml:space="preserve">TXG.TO</t>
  </si>
  <si>
    <t xml:space="preserve">Torex Gold</t>
  </si>
  <si>
    <t xml:space="preserve">OGC.TO</t>
  </si>
  <si>
    <t xml:space="preserve">OceanaGold</t>
  </si>
  <si>
    <t xml:space="preserve">SSRM.TO</t>
  </si>
  <si>
    <t xml:space="preserve">SSR Mining</t>
  </si>
  <si>
    <t xml:space="preserve">HBM.TO</t>
  </si>
  <si>
    <t xml:space="preserve">Hudbay Minerals</t>
  </si>
  <si>
    <t xml:space="preserve">LUN.TO</t>
  </si>
  <si>
    <t xml:space="preserve">Lundin Mining</t>
  </si>
  <si>
    <t xml:space="preserve">ELD.TO</t>
  </si>
  <si>
    <t xml:space="preserve">Eldorado Gold</t>
  </si>
  <si>
    <t xml:space="preserve">DPM.TO</t>
  </si>
  <si>
    <t xml:space="preserve">DPM Metals</t>
  </si>
  <si>
    <t xml:space="preserve">IMG.TO</t>
  </si>
  <si>
    <t xml:space="preserve">IAMGOLD</t>
  </si>
  <si>
    <t xml:space="preserve">EQX.TO</t>
  </si>
  <si>
    <t xml:space="preserve">Equinox Gold</t>
  </si>
  <si>
    <t xml:space="preserve">Source: MKT-YF. Values are hardcoded inputs refreshed by the pipeline.</t>
  </si>
  <si>
    <t xml:space="preserve">Mount Milligan — asset NAV (CG, Canada (BC))</t>
  </si>
  <si>
    <t xml:space="preserve">Reserve-constrained life-of-mine model. Blue = input (data/assets.csv), green = link, black = formula. US$M real unless noted.</t>
  </si>
  <si>
    <t xml:space="preserve">Input</t>
  </si>
  <si>
    <t xml:space="preserve">Value</t>
  </si>
  <si>
    <t xml:space="preserve">Unit</t>
  </si>
  <si>
    <t xml:space="preserve">Source / status</t>
  </si>
  <si>
    <t xml:space="preserve">Ownership</t>
  </si>
  <si>
    <t xml:space="preserve">%</t>
  </si>
  <si>
    <t xml:space="preserve">Source IDs: CG-MRMR-2025;CG-MTM-PFS-2025;CG-Q2-2026;CG-RGLD-STREAM (see Sources tab)</t>
  </si>
  <si>
    <t xml:space="preserve">P&amp;P reserve (at effective date)</t>
  </si>
  <si>
    <t xml:space="preserve">Mt</t>
  </si>
  <si>
    <t xml:space="preserve">[verified] reserve_mt|au_gpt: Year-end 2025 P&amp;P 470.3 Mt @ 0.28 g/t Au (CG-MRMR-2025)</t>
  </si>
  <si>
    <t xml:space="preserve">Depletion to 1 Jan 2027</t>
  </si>
  <si>
    <t xml:space="preserve">[estimate] cu_grade_pct: Copper grade not captured from the MRMR table; 0.16% Cu calibrated to 50–60 Mlb/yr 2026 guidance</t>
  </si>
  <si>
    <t xml:space="preserve">Copper grade</t>
  </si>
  <si>
    <t xml:space="preserve">% Cu</t>
  </si>
  <si>
    <t xml:space="preserve">[verified] expansion_mtpa|expansion_year|growth_capex_usd_m: PFS: ~10% throughput increase in 2029 and US$186M growth capital</t>
  </si>
  <si>
    <t xml:space="preserve">Gold grade</t>
  </si>
  <si>
    <t xml:space="preserve">g/t Au</t>
  </si>
  <si>
    <t xml:space="preserve">[calibrated] recoveries|opex_usd_t|sustaining_usd_m: Set so 2027 AISC lands in the US$1.2–1.3k/oz guidance range</t>
  </si>
  <si>
    <t xml:space="preserve">Copper recovery</t>
  </si>
  <si>
    <t xml:space="preserve">[verified] stream_*: Royal Gold stream: 35% of gold at US$435/oz; 18.75% of copper at 15% of spot</t>
  </si>
  <si>
    <t xml:space="preserve">Gold recovery</t>
  </si>
  <si>
    <t xml:space="preserve">[estimate] depleted_mt: 2026 ore processed (~59 ktpd)</t>
  </si>
  <si>
    <t xml:space="preserve">Copper payable</t>
  </si>
  <si>
    <t xml:space="preserve">Gold payable</t>
  </si>
  <si>
    <t xml:space="preserve">Throughput</t>
  </si>
  <si>
    <t xml:space="preserve">Mtpa</t>
  </si>
  <si>
    <t xml:space="preserve">Throughput after expansion</t>
  </si>
  <si>
    <t xml:space="preserve">Expansion year</t>
  </si>
  <si>
    <t xml:space="preserve">year</t>
  </si>
  <si>
    <t xml:space="preserve">First production year</t>
  </si>
  <si>
    <t xml:space="preserve">Site operating cost</t>
  </si>
  <si>
    <t xml:space="preserve">US$/t milled</t>
  </si>
  <si>
    <t xml:space="preserve">TC/RC and freight</t>
  </si>
  <si>
    <t xml:space="preserve">US$/lb Cu</t>
  </si>
  <si>
    <t xml:space="preserve">Sustaining capex</t>
  </si>
  <si>
    <t xml:space="preserve">US$M/yr</t>
  </si>
  <si>
    <t xml:space="preserve">Growth capex (total)</t>
  </si>
  <si>
    <t xml:space="preserve">US$M</t>
  </si>
  <si>
    <t xml:space="preserve">Growth capex start</t>
  </si>
  <si>
    <t xml:space="preserve">Growth capex years</t>
  </si>
  <si>
    <t xml:space="preserve">years</t>
  </si>
  <si>
    <t xml:space="preserve">Closure cost</t>
  </si>
  <si>
    <t xml:space="preserve">Royalties (NSR)</t>
  </si>
  <si>
    <t xml:space="preserve">% revenue</t>
  </si>
  <si>
    <t xml:space="preserve">Cash tax rate</t>
  </si>
  <si>
    <t xml:space="preserve">Gold streamed</t>
  </si>
  <si>
    <t xml:space="preserve">% payable Au</t>
  </si>
  <si>
    <t xml:space="preserve">Stream gold price received</t>
  </si>
  <si>
    <t xml:space="preserve">Copper streamed</t>
  </si>
  <si>
    <t xml:space="preserve">% payable Cu</t>
  </si>
  <si>
    <t xml:space="preserve">Stream copper price received</t>
  </si>
  <si>
    <t xml:space="preserve">% of spot</t>
  </si>
  <si>
    <t xml:space="preserve">Inputs tab</t>
  </si>
  <si>
    <t xml:space="preserve">US$M unless noted</t>
  </si>
  <si>
    <t xml:space="preserve">LOM / NPV</t>
  </si>
  <si>
    <t xml:space="preserve">Period</t>
  </si>
  <si>
    <t xml:space="preserve">Copper price</t>
  </si>
  <si>
    <t xml:space="preserve">Gold price</t>
  </si>
  <si>
    <t xml:space="preserve">Mill capacity</t>
  </si>
  <si>
    <t xml:space="preserve">Opening reserve</t>
  </si>
  <si>
    <t xml:space="preserve">Ore processed</t>
  </si>
  <si>
    <t xml:space="preserve">Closing reserve</t>
  </si>
  <si>
    <t xml:space="preserve">Payable copper</t>
  </si>
  <si>
    <t xml:space="preserve">Mlb</t>
  </si>
  <si>
    <t xml:space="preserve">Payable gold</t>
  </si>
  <si>
    <t xml:space="preserve">koz</t>
  </si>
  <si>
    <t xml:space="preserve">Realised copper price (after stream)</t>
  </si>
  <si>
    <t xml:space="preserve">Realised gold price (after stream)</t>
  </si>
  <si>
    <t xml:space="preserve">Copper revenue</t>
  </si>
  <si>
    <t xml:space="preserve">Gold revenue</t>
  </si>
  <si>
    <t xml:space="preserve">Total revenue</t>
  </si>
  <si>
    <t xml:space="preserve">Royalties</t>
  </si>
  <si>
    <t xml:space="preserve">Site operating costs</t>
  </si>
  <si>
    <t xml:space="preserve">Mine EBITDA</t>
  </si>
  <si>
    <t xml:space="preserve">Growth capex</t>
  </si>
  <si>
    <t xml:space="preserve">Closure and reclamation</t>
  </si>
  <si>
    <t xml:space="preserve">Cash taxes</t>
  </si>
  <si>
    <t xml:space="preserve">Unlevered free cash flow</t>
  </si>
  <si>
    <t xml:space="preserve">Discount factor (mid-year)</t>
  </si>
  <si>
    <t xml:space="preserve">PV of free cash flow</t>
  </si>
  <si>
    <t xml:space="preserve">Asset summary</t>
  </si>
  <si>
    <t xml:space="preserve">NPV (100% basis)</t>
  </si>
  <si>
    <t xml:space="preserve">Attributable NAV</t>
  </si>
  <si>
    <t xml:space="preserve">Remaining mine life</t>
  </si>
  <si>
    <t xml:space="preserve">AISC 2027, by-product</t>
  </si>
  <si>
    <t xml:space="preserve">US$/oz Au</t>
  </si>
  <si>
    <t xml:space="preserve">AISC life of mine, by-product</t>
  </si>
  <si>
    <t xml:space="preserve">Öksüt — asset NAV (CG, Türkiye)</t>
  </si>
  <si>
    <t xml:space="preserve">Source IDs: CG-MRMR-2025;CG-Q2-2026 (see Sources tab)</t>
  </si>
  <si>
    <t xml:space="preserve">[verified] reserve_mt|au_gpt: Year-end 2025 P&amp;P 15.4 Mt @ 1.02 g/t Au</t>
  </si>
  <si>
    <t xml:space="preserve">[calibrated] nsr_royalty|opex_usd_t: Set so AISC lands in the US$1,850–1,950/oz 2026 guidance range (includes state royalty)</t>
  </si>
  <si>
    <t xml:space="preserve">Goldfield — asset NAV (CG, US (Nevada))</t>
  </si>
  <si>
    <t xml:space="preserve">Source IDs: CG-MRMR-2025 (see Sources tab)</t>
  </si>
  <si>
    <t xml:space="preserve">[verified] reserve_mt|au_gpt: Year-end 2025 P&amp;P 33.3 Mt @ 0.66 g/t Au (maiden reserve)</t>
  </si>
  <si>
    <t xml:space="preserve">[estimate] growth_capex_usd_m|start_year|throughput_mtpa: Development schedule and capex are analyst estimates pending a construction decision</t>
  </si>
  <si>
    <t xml:space="preserve">Caraíba — asset NAV (ERO, Brazil (Bahia))</t>
  </si>
  <si>
    <t xml:space="preserve">Source IDs: ERO-CARAIBA-OPS;ERO-MDA-2025Q4;ERO-AIF-2025 (see Sources tab)</t>
  </si>
  <si>
    <t xml:space="preserve">[verified] reserve_mt|cu_grade_pct: Dec 2024 P&amp;P: UG 30.9 Mt @ 1.38% + OP 42.2 Mt @ 0.54% = 73.1 Mt @ 0.90% Cu</t>
  </si>
  <si>
    <t xml:space="preserve">[estimate] depleted_mt: 2025 processed 3.66 Mt (verified); 2026 assumed ~3.9 Mt; 2025 depletion netted against grade conservatism</t>
  </si>
  <si>
    <t xml:space="preserve">[calibrated] opex_usd_t|tcrc_usd_lb: Set so C1 lands near the US$2.30–2.50/lb 2026 guidance</t>
  </si>
  <si>
    <t xml:space="preserve">[calibrated] sustaining_usd_m: Set so AISC lands near US$3.25/lb (C1 plus sustaining capex and royalties)</t>
  </si>
  <si>
    <t xml:space="preserve">Tucumã — asset NAV (ERO, Brazil (Pará))</t>
  </si>
  <si>
    <t xml:space="preserve">Source IDs: ERO-TUCUMA-TR;ERO-MDA-2025Q4;ERO-Q2-2026 (see Sources tab)</t>
  </si>
  <si>
    <t xml:space="preserve">[verified] reserve_mt|cu_grade_pct: Sep 2021 P&amp;P 43.1 Mt @ 0.83% Cu (pre-production)</t>
  </si>
  <si>
    <t xml:space="preserve">[estimate] depleted_mt: 2024–2026 ore processed (2025 verified at 1.81 Mt)</t>
  </si>
  <si>
    <t xml:space="preserve">[calibrated] opex_usd_t: Set so C1 lands near the US$1.95–2.15/lb 2026 guidance</t>
  </si>
  <si>
    <t xml:space="preserve">[estimate] expansion_mtpa|sustaining_usd_m: 4.4 Mtpa from 2027 reflects plant throughput upgrades due Q4 2026 (ERO-Q2-2026); sustaining capex is an analyst estimate</t>
  </si>
  <si>
    <t xml:space="preserve">Xavantina — asset NAV (ERO, Brazil (Mato Grosso))</t>
  </si>
  <si>
    <t xml:space="preserve">Source IDs: ERO-XAV-2025;ERO-MDA-2025Q4;ERO-Q2-2026 (see Sources tab)</t>
  </si>
  <si>
    <t xml:space="preserve">[estimate] reserve_mt|au_gpt: Back-solved from 2025 production (172 kt processed; 37.3 koz) and 40–50 koz/yr guidance; replace with the 2025 reserve update table</t>
  </si>
  <si>
    <t xml:space="preserve">[calibrated] opex_usd_t|sustaining_usd_m: Set so AISC lands in the revised US$2,200–2,700/oz guidance range</t>
  </si>
  <si>
    <t xml:space="preserve">Corporate NAV and financial summary</t>
  </si>
  <si>
    <t xml:space="preserve">Sum of attributable asset NAVs plus corporate items. P/NAV uses the spot share price and spot CAD/USD.</t>
  </si>
  <si>
    <t xml:space="preserve">Centerra (CG)</t>
  </si>
  <si>
    <t xml:space="preserve">Ero (ERO)</t>
  </si>
  <si>
    <t xml:space="preserve">Note</t>
  </si>
  <si>
    <t xml:space="preserve">Mount Milligan NAV</t>
  </si>
  <si>
    <t xml:space="preserve">Öksüt NAV</t>
  </si>
  <si>
    <t xml:space="preserve">Goldfield NAV</t>
  </si>
  <si>
    <t xml:space="preserve">Caraíba NAV</t>
  </si>
  <si>
    <t xml:space="preserve">Tucumã NAV</t>
  </si>
  <si>
    <t xml:space="preserve">Xavantina NAV</t>
  </si>
  <si>
    <t xml:space="preserve">Total attributable asset NAV</t>
  </si>
  <si>
    <t xml:space="preserve">Corporate G&amp;A (capitalised)</t>
  </si>
  <si>
    <t xml:space="preserve">G&amp;A (US$M/yr, data/corporate.csv) x annuity factor</t>
  </si>
  <si>
    <t xml:space="preserve">Other assets and exploration</t>
  </si>
  <si>
    <t xml:space="preserve">CG: Molybdenum business (Langeloth, Thompson Creek), Kemess and exploration; ERO: Furnas earn-in and regional exploration</t>
  </si>
  <si>
    <t xml:space="preserve">Hedge book mark-to-market</t>
  </si>
  <si>
    <t xml:space="preserve">Neither company has a material hedge book</t>
  </si>
  <si>
    <t xml:space="preserve">Cash and equivalents</t>
  </si>
  <si>
    <t xml:space="preserve">Market tab</t>
  </si>
  <si>
    <t xml:space="preserve">Debt</t>
  </si>
  <si>
    <t xml:space="preserve">Net asset value</t>
  </si>
  <si>
    <t xml:space="preserve">Shares outstanding (M)</t>
  </si>
  <si>
    <t xml:space="preserve">Basic shares; Market tab</t>
  </si>
  <si>
    <t xml:space="preserve">NAV per share (US$)</t>
  </si>
  <si>
    <t xml:space="preserve">NAV per share (C$)</t>
  </si>
  <si>
    <t xml:space="preserve">Share price (C$)</t>
  </si>
  <si>
    <t xml:space="preserve">P/NAV</t>
  </si>
  <si>
    <t xml:space="preserve">Financial summary (feeds the accretion/dilution analysis)</t>
  </si>
  <si>
    <t xml:space="preserve">CG 2027E</t>
  </si>
  <si>
    <t xml:space="preserve">CG 2028E</t>
  </si>
  <si>
    <t xml:space="preserve">ERO 2027E</t>
  </si>
  <si>
    <t xml:space="preserve">ERO 2028E</t>
  </si>
  <si>
    <t xml:space="preserve">Payable copper (Mlb, attributable)</t>
  </si>
  <si>
    <t xml:space="preserve">Payable gold (koz, attributable)</t>
  </si>
  <si>
    <t xml:space="preserve">Revenue</t>
  </si>
  <si>
    <t xml:space="preserve">Corporate G&amp;A</t>
  </si>
  <si>
    <t xml:space="preserve">EBITDA</t>
  </si>
  <si>
    <t xml:space="preserve">Depreciation and amortisation</t>
  </si>
  <si>
    <t xml:space="preserve">data/corporate.csv (estimate)</t>
  </si>
  <si>
    <t xml:space="preserve">Interest expense</t>
  </si>
  <si>
    <t xml:space="preserve">Debt x coupon (data/corporate.csv)</t>
  </si>
  <si>
    <t xml:space="preserve">Pre-tax income</t>
  </si>
  <si>
    <t xml:space="preserve">Income tax</t>
  </si>
  <si>
    <t xml:space="preserve">Book tax at effective rate (data/corporate.csv)</t>
  </si>
  <si>
    <t xml:space="preserve">Net income</t>
  </si>
  <si>
    <t xml:space="preserve">EPS (US$)</t>
  </si>
  <si>
    <t xml:space="preserve">Cash taxes (asset level)</t>
  </si>
  <si>
    <t xml:space="preserve">Operating cash flow</t>
  </si>
  <si>
    <t xml:space="preserve">CFPS (US$)</t>
  </si>
  <si>
    <t xml:space="preserve">Trading comparables</t>
  </si>
  <si>
    <t xml:space="preserve">Multiples are live formulas on the Market tab. Peer statistics exclude Centerra and Ero. Peer reserves are estimates (data/peer_inputs.csv); P/NAV shown only where a NAV is available.</t>
  </si>
  <si>
    <t xml:space="preserve">Role</t>
  </si>
  <si>
    <t xml:space="preserve">EV / EBITDA (TTM)</t>
  </si>
  <si>
    <t xml:space="preserve">P / CF (TTM)</t>
  </si>
  <si>
    <t xml:space="preserve">P / NAV</t>
  </si>
  <si>
    <t xml:space="preserve">Price / target</t>
  </si>
  <si>
    <t xml:space="preserve">P&amp;P reserves (Mt CuEq)</t>
  </si>
  <si>
    <t xml:space="preserve">EV / lb CuEq reserve (US$)</t>
  </si>
  <si>
    <t xml:space="preserve">acquirer</t>
  </si>
  <si>
    <t xml:space="preserve">target</t>
  </si>
  <si>
    <t xml:space="preserve">peer</t>
  </si>
  <si>
    <t xml:space="preserve">n/a</t>
  </si>
  <si>
    <t xml:space="preserve">Peer mean</t>
  </si>
  <si>
    <t xml:space="preserve">Peer median</t>
  </si>
  <si>
    <t xml:space="preserve">Peer 25th percentile</t>
  </si>
  <si>
    <t xml:space="preserve">Peer 75th percentile</t>
  </si>
  <si>
    <t xml:space="preserve">Notes</t>
  </si>
  <si>
    <t xml:space="preserve">TTM EBITDA and operating cash flow from yfinance (latest reported); EV = market cap + debt - cash.</t>
  </si>
  <si>
    <t xml:space="preserve">P/NAV for Centerra and Ero links to the model's reserve-only NAV at the analyst deck (Corporate_NAV).</t>
  </si>
  <si>
    <t xml:space="preserve">Peer P/NAV needs a consensus NAV per share in data/peer_inputs.csv; none is published for free, so it shows n/a.</t>
  </si>
  <si>
    <t xml:space="preserve">Price / target uses the yfinance mean analyst target as a market-based cross-check.</t>
  </si>
  <si>
    <t xml:space="preserve">CuEq converts gold at the long-term deck ratio (gold price / copper price per tonne).</t>
  </si>
  <si>
    <t xml:space="preserve">Precedent transactions — copper and gold M&amp;A, 2021–2025</t>
  </si>
  <si>
    <t xml:space="preserve">Premium to the target's undisturbed price at announcement, from company press releases. Blank = not disclosed or not yet verified.</t>
  </si>
  <si>
    <t xml:space="preserve">Announced</t>
  </si>
  <si>
    <t xml:space="preserve">Acquirer</t>
  </si>
  <si>
    <t xml:space="preserve">Target</t>
  </si>
  <si>
    <t xml:space="preserve">Metal</t>
  </si>
  <si>
    <t xml:space="preserve">Consideration</t>
  </si>
  <si>
    <t xml:space="preserve">Equity value (US$M)</t>
  </si>
  <si>
    <t xml:space="preserve">Premium</t>
  </si>
  <si>
    <t xml:space="preserve">P/NAV at ann.</t>
  </si>
  <si>
    <t xml:space="preserve">Reserves (Moz AuEq)</t>
  </si>
  <si>
    <t xml:space="preserve">Value / reserve oz (US$)</t>
  </si>
  <si>
    <t xml:space="preserve">Status</t>
  </si>
  <si>
    <t xml:space="preserve">2025-11-03</t>
  </si>
  <si>
    <t xml:space="preserve">Coeur Mining</t>
  </si>
  <si>
    <t xml:space="preserve">New Gold</t>
  </si>
  <si>
    <t xml:space="preserve">gold-copper</t>
  </si>
  <si>
    <t xml:space="preserve">All-stock</t>
  </si>
  <si>
    <t xml:space="preserve">premium and value as reported in announcement; verify</t>
  </si>
  <si>
    <t xml:space="preserve">https://www.coeur.com/investors/news</t>
  </si>
  <si>
    <t xml:space="preserve">2025-05-27</t>
  </si>
  <si>
    <t xml:space="preserve">Harmony Gold</t>
  </si>
  <si>
    <t xml:space="preserve">MAC Copper</t>
  </si>
  <si>
    <t xml:space="preserve">copper</t>
  </si>
  <si>
    <t xml:space="preserve">All-cash</t>
  </si>
  <si>
    <t xml:space="preserve">P/NAV per FactSet; premium as reported; verify</t>
  </si>
  <si>
    <t xml:space="preserve">https://insight.factset.com/metals-mining-2025-ma-and-equity-capital-markets-insights</t>
  </si>
  <si>
    <t xml:space="preserve">2025-02-23</t>
  </si>
  <si>
    <t xml:space="preserve">Calibre Mining</t>
  </si>
  <si>
    <t xml:space="preserve">gold</t>
  </si>
  <si>
    <t xml:space="preserve">premium as reported (20-day VWAP basis); verify</t>
  </si>
  <si>
    <t xml:space="preserve">https://www.equinoxgold.com/news</t>
  </si>
  <si>
    <t xml:space="preserve">2024-12-02</t>
  </si>
  <si>
    <t xml:space="preserve">Northern Star Resources</t>
  </si>
  <si>
    <t xml:space="preserve">De Grey Mining</t>
  </si>
  <si>
    <t xml:space="preserve">premium as reported; reserves = Hemi PFS/DFS; verify</t>
  </si>
  <si>
    <t xml:space="preserve">https://www.nsrltd.com/investor-and-media/asx-announcements</t>
  </si>
  <si>
    <t xml:space="preserve">2024-08-12</t>
  </si>
  <si>
    <t xml:space="preserve">Gold Fields</t>
  </si>
  <si>
    <t xml:space="preserve">Osisko Mining</t>
  </si>
  <si>
    <t xml:space="preserve">premium as reported; reserves = Windfall FS; verify</t>
  </si>
  <si>
    <t xml:space="preserve">https://www.goldfields.com/press-releases.php</t>
  </si>
  <si>
    <t xml:space="preserve">2024-07-29</t>
  </si>
  <si>
    <t xml:space="preserve">BHP / Lundin Mining</t>
  </si>
  <si>
    <t xml:space="preserve">Filo Corp</t>
  </si>
  <si>
    <t xml:space="preserve">copper-gold</t>
  </si>
  <si>
    <t xml:space="preserve">Cash and stock</t>
  </si>
  <si>
    <t xml:space="preserve">premium to 30-day VWAP as reported; no reserves at announcement; verify</t>
  </si>
  <si>
    <t xml:space="preserve">https://www.lundinmining.com/news</t>
  </si>
  <si>
    <t xml:space="preserve">2023-05-14</t>
  </si>
  <si>
    <t xml:space="preserve">Newmont</t>
  </si>
  <si>
    <t xml:space="preserve">Newcrest Mining</t>
  </si>
  <si>
    <t xml:space="preserve">premium to undisturbed price as reported; verify</t>
  </si>
  <si>
    <t xml:space="preserve">https://www.newmont.com/investors/news-release</t>
  </si>
  <si>
    <t xml:space="preserve">2023-04-13</t>
  </si>
  <si>
    <t xml:space="preserve">Copper Mountain Mining</t>
  </si>
  <si>
    <t xml:space="preserve">premium as reported; verify</t>
  </si>
  <si>
    <t xml:space="preserve">https://hudbayminerals.com/investors/news</t>
  </si>
  <si>
    <t xml:space="preserve">2021-12-20</t>
  </si>
  <si>
    <t xml:space="preserve">Josemaria Resources</t>
  </si>
  <si>
    <t xml:space="preserve">Mean</t>
  </si>
  <si>
    <t xml:space="preserve">Median</t>
  </si>
  <si>
    <t xml:space="preserve">25th percentile</t>
  </si>
  <si>
    <t xml:space="preserve">75th percentile</t>
  </si>
  <si>
    <t xml:space="preserve">Benchmarks</t>
  </si>
  <si>
    <t xml:space="preserve">FactSet: gold targets acquired in 2025 averaged ~0.73x consensus P/NAV (13 deals); ten-year average ~0.8x.</t>
  </si>
  <si>
    <t xml:space="preserve">FactSet: Harmony / MAC Copper implied 1.26x P/NAV and Anglo / Teck 1.22x, the highest since BHP's bid for Anglo.</t>
  </si>
  <si>
    <t xml:space="preserve">Source: insight.factset.com/metals-mining-2025-ma-and-equity-capital-markets-insights</t>
  </si>
  <si>
    <t xml:space="preserve">Run-rate synergy case</t>
  </si>
  <si>
    <t xml:space="preserve">Pre-tax, US$M per year at run-rate. Basis for each line in column E.</t>
  </si>
  <si>
    <t xml:space="preserve">Category</t>
  </si>
  <si>
    <t xml:space="preserve">Run-rate (US$M)</t>
  </si>
  <si>
    <t xml:space="preserve">Basis</t>
  </si>
  <si>
    <t xml:space="preserve">One head office, board, listing and IT: removes ~50% of combined US$90M corporate G&amp;A</t>
  </si>
  <si>
    <t xml:space="preserve">Procurement and concentrate marketing</t>
  </si>
  <si>
    <t xml:space="preserve">~6% of the combined ~US$1.1Bn site cash cost and sustaining capex base (reagents, energy, grinding media, freight, smelter terms)</t>
  </si>
  <si>
    <t xml:space="preserve">Operational and technical services</t>
  </si>
  <si>
    <t xml:space="preserve">Shared technical services and fleet maintenance practices across six sites; exploration budget rationalisation</t>
  </si>
  <si>
    <t xml:space="preserve">Total run-rate synergies</t>
  </si>
  <si>
    <t xml:space="preserve">Phase-in and value</t>
  </si>
  <si>
    <t xml:space="preserve">Synergies 2027E (pre-tax)</t>
  </si>
  <si>
    <t xml:space="preserve">Run-rate x year-1 phase-in</t>
  </si>
  <si>
    <t xml:space="preserve">Synergies 2028E (pre-tax)</t>
  </si>
  <si>
    <t xml:space="preserve">Run-rate x year-2 phase-in</t>
  </si>
  <si>
    <t xml:space="preserve">One-off integration costs</t>
  </si>
  <si>
    <t xml:space="preserve">Cost to achieve; excluded from EPS and CFPS, deducted from NAV</t>
  </si>
  <si>
    <t xml:space="preserve">NPV of after-tax synergies, net of integration costs</t>
  </si>
  <si>
    <t xml:space="preserve">Mid-year annuity over the capitalisation period, less the year-1 phase-in shortfall</t>
  </si>
  <si>
    <t xml:space="preserve">Capitalised value per pro forma share (US$)</t>
  </si>
  <si>
    <t xml:space="preserve">Pro forma merger model — Centerra acquires Ero</t>
  </si>
  <si>
    <t xml:space="preserve">Offer structure, funding, pro forma ownership and accretion/dilution to EPS, CFPS and NAVPS.</t>
  </si>
  <si>
    <t xml:space="preserve">Deal inputs (data/deal_assumptions.csv)</t>
  </si>
  <si>
    <t xml:space="preserve">Offer premium to unaffected price</t>
  </si>
  <si>
    <t xml:space="preserve">In line with the 30–31% precedent median</t>
  </si>
  <si>
    <t xml:space="preserve">Consideration (1 = all-stock, 2 = cash-and-stock)</t>
  </si>
  <si>
    <t xml:space="preserve">Toggle</t>
  </si>
  <si>
    <t xml:space="preserve">Cash portion when cash-and-stock</t>
  </si>
  <si>
    <t xml:space="preserve">Applies when consideration_case = 2</t>
  </si>
  <si>
    <t xml:space="preserve">Minimum pro forma cash (US$M)</t>
  </si>
  <si>
    <t xml:space="preserve">Minimum pro forma cash balance before drawing new debt</t>
  </si>
  <si>
    <t xml:space="preserve">Cost of new acquisition debt</t>
  </si>
  <si>
    <t xml:space="preserve">Cost of acquisition debt (term loan / notes)</t>
  </si>
  <si>
    <t xml:space="preserve">Yield forgone on cash used</t>
  </si>
  <si>
    <t xml:space="preserve">Interest income forgone on cash used</t>
  </si>
  <si>
    <t xml:space="preserve">Transaction costs (US$M)</t>
  </si>
  <si>
    <t xml:space="preserve">Advisory, legal and financing fees</t>
  </si>
  <si>
    <t xml:space="preserve">Tax rate on synergies and financing</t>
  </si>
  <si>
    <t xml:space="preserve">Tax rate applied to synergies and financing effects</t>
  </si>
  <si>
    <t xml:space="preserve">Synergy phase-in, 2027E</t>
  </si>
  <si>
    <t xml:space="preserve">2027E</t>
  </si>
  <si>
    <t xml:space="preserve">Synergy phase-in, 2028E</t>
  </si>
  <si>
    <t xml:space="preserve">2028E onward</t>
  </si>
  <si>
    <t xml:space="preserve">Integration cost (x run-rate)</t>
  </si>
  <si>
    <t xml:space="preserve">One-off cost to achieve (excluded from EPS)</t>
  </si>
  <si>
    <t xml:space="preserve">Synergy capitalisation (years)</t>
  </si>
  <si>
    <t xml:space="preserve">Years of synergies capitalised in pro forma NAV</t>
  </si>
  <si>
    <t xml:space="preserve">Synergy discount rate</t>
  </si>
  <si>
    <t xml:space="preserve">Blended copper-gold rate</t>
  </si>
  <si>
    <t xml:space="preserve">Offer and funding</t>
  </si>
  <si>
    <t xml:space="preserve">Ero unaffected share price (C$)</t>
  </si>
  <si>
    <t xml:space="preserve">Offer price per Ero share (C$)</t>
  </si>
  <si>
    <t xml:space="preserve">Cash portion applied</t>
  </si>
  <si>
    <t xml:space="preserve">Cash per Ero share (C$)</t>
  </si>
  <si>
    <t xml:space="preserve">Exchange ratio (CG shares per Ero share)</t>
  </si>
  <si>
    <t xml:space="preserve">Fixed at Centerra's unaffected price</t>
  </si>
  <si>
    <t xml:space="preserve">New Centerra shares issued (M)</t>
  </si>
  <si>
    <t xml:space="preserve">Equity purchase price (US$M)</t>
  </si>
  <si>
    <t xml:space="preserve">At spot CAD/USD</t>
  </si>
  <si>
    <t xml:space="preserve">  of which cash (US$M)</t>
  </si>
  <si>
    <t xml:space="preserve">  of which stock (US$M)</t>
  </si>
  <si>
    <t xml:space="preserve">Ero net debt assumed (US$M)</t>
  </si>
  <si>
    <t xml:space="preserve">Debt less cash</t>
  </si>
  <si>
    <t xml:space="preserve">Implied enterprise value (US$M)</t>
  </si>
  <si>
    <t xml:space="preserve">Implied P/NAV (offer / Ero NAVPS)</t>
  </si>
  <si>
    <t xml:space="preserve">Reserve-only NAV at the analyst deck</t>
  </si>
  <si>
    <t xml:space="preserve">Implied EV / 2027E EBITDA</t>
  </si>
  <si>
    <t xml:space="preserve">Cash required: consideration + costs (US$M)</t>
  </si>
  <si>
    <t xml:space="preserve">Funded from balance sheet cash (US$M)</t>
  </si>
  <si>
    <t xml:space="preserve">Combined cash above the minimum balance</t>
  </si>
  <si>
    <t xml:space="preserve">Funded from new debt (US$M)</t>
  </si>
  <si>
    <t xml:space="preserve">Pro forma ownership</t>
  </si>
  <si>
    <t xml:space="preserve">Centerra shares outstanding (M)</t>
  </si>
  <si>
    <t xml:space="preserve">Pro forma shares outstanding (M)</t>
  </si>
  <si>
    <t xml:space="preserve">Centerra shareholders</t>
  </si>
  <si>
    <t xml:space="preserve">Ero shareholders</t>
  </si>
  <si>
    <t xml:space="preserve">Accretion / dilution (US$M unless noted)</t>
  </si>
  <si>
    <t xml:space="preserve">2028E</t>
  </si>
  <si>
    <t xml:space="preserve">Centerra standalone net income</t>
  </si>
  <si>
    <t xml:space="preserve">Ero standalone net income</t>
  </si>
  <si>
    <t xml:space="preserve">Pre-tax synergies</t>
  </si>
  <si>
    <t xml:space="preserve">After-tax synergies</t>
  </si>
  <si>
    <t xml:space="preserve">After-tax interest on new debt</t>
  </si>
  <si>
    <t xml:space="preserve">After-tax interest forgone on cash</t>
  </si>
  <si>
    <t xml:space="preserve">Pro forma net income</t>
  </si>
  <si>
    <t xml:space="preserve">Excludes one-off integration and transaction costs; no purchase price allocation step-up</t>
  </si>
  <si>
    <t xml:space="preserve">Centerra standalone EPS (US$)</t>
  </si>
  <si>
    <t xml:space="preserve">Pro forma EPS (US$)</t>
  </si>
  <si>
    <t xml:space="preserve">EPS accretion / (dilution)</t>
  </si>
  <si>
    <t xml:space="preserve">Pro forma operating cash flow</t>
  </si>
  <si>
    <t xml:space="preserve">Centerra standalone CFPS (US$)</t>
  </si>
  <si>
    <t xml:space="preserve">Pro forma CFPS (US$)</t>
  </si>
  <si>
    <t xml:space="preserve">CFPS accretion / (dilution)</t>
  </si>
  <si>
    <t xml:space="preserve">Pro forma EBITDA (incl. synergies)</t>
  </si>
  <si>
    <t xml:space="preserve">NAV per share</t>
  </si>
  <si>
    <t xml:space="preserve">Centerra standalone NAV (US$M)</t>
  </si>
  <si>
    <t xml:space="preserve">Ero standalone NAV (US$M)</t>
  </si>
  <si>
    <t xml:space="preserve">NPV of synergies, net of integration (US$M)</t>
  </si>
  <si>
    <t xml:space="preserve">Less: cash consideration and transaction costs (US$M)</t>
  </si>
  <si>
    <t xml:space="preserve">Paid from cash or new debt; either way it reduces NAV</t>
  </si>
  <si>
    <t xml:space="preserve">Pro forma NAV (US$M)</t>
  </si>
  <si>
    <t xml:space="preserve">Pro forma NAV per share (US$)</t>
  </si>
  <si>
    <t xml:space="preserve">Centerra standalone NAVPS (US$)</t>
  </si>
  <si>
    <t xml:space="preserve">NAVPS accretion / (dilution)</t>
  </si>
  <si>
    <t xml:space="preserve">The metric that matters most for miners</t>
  </si>
  <si>
    <t xml:space="preserve">NAVPS accretion before synergies</t>
  </si>
  <si>
    <t xml:space="preserve">Pro forma net debt (US$M)</t>
  </si>
  <si>
    <t xml:space="preserve">Combined net debt plus cash paid out</t>
  </si>
  <si>
    <t xml:space="preserve">Pro forma net debt / 2027E EBITDA</t>
  </si>
  <si>
    <t xml:space="preserve">Contribution analysis</t>
  </si>
  <si>
    <t xml:space="preserve">What each company brings versus what its shareholders receive.</t>
  </si>
  <si>
    <t xml:space="preserve">Metric</t>
  </si>
  <si>
    <t xml:space="preserve">Centerra</t>
  </si>
  <si>
    <t xml:space="preserve">Ero</t>
  </si>
  <si>
    <t xml:space="preserve">Centerra %</t>
  </si>
  <si>
    <t xml:space="preserve">Ero %</t>
  </si>
  <si>
    <t xml:space="preserve">Net asset value (US$M)</t>
  </si>
  <si>
    <t xml:space="preserve">Market capitalisation (US$M)</t>
  </si>
  <si>
    <t xml:space="preserve">2027E EBITDA (US$M)</t>
  </si>
  <si>
    <t xml:space="preserve">2028E EBITDA (US$M)</t>
  </si>
  <si>
    <t xml:space="preserve">2027E operating cash flow (US$M)</t>
  </si>
  <si>
    <t xml:space="preserve">2027E net income (US$M)</t>
  </si>
  <si>
    <t xml:space="preserve">2027E production (koz AuEq)</t>
  </si>
  <si>
    <t xml:space="preserve">AuEq converts copper at the long-term deck ratio. Centerra % above its ownership means Centerra contributes more than its holders keep.</t>
  </si>
  <si>
    <t xml:space="preserve">Price scenarios</t>
  </si>
  <si>
    <t xml:space="preserve">Values produced by scripts/run_scenarios.py, which re-runs this workbook with each price case and records the outputs. Rerun `make model` after changing any input.</t>
  </si>
  <si>
    <t xml:space="preserve">Scenario</t>
  </si>
  <si>
    <t xml:space="preserve">Cu case</t>
  </si>
  <si>
    <t xml:space="preserve">Au case</t>
  </si>
  <si>
    <t xml:space="preserve">Custom Cu</t>
  </si>
  <si>
    <t xml:space="preserve">CG_NAV</t>
  </si>
  <si>
    <t xml:space="preserve">ERO_NAV</t>
  </si>
  <si>
    <t xml:space="preserve">CG_NAVPS_CAD</t>
  </si>
  <si>
    <t xml:space="preserve">ERO_NAVPS_CAD</t>
  </si>
  <si>
    <t xml:space="preserve">CG_PNAV</t>
  </si>
  <si>
    <t xml:space="preserve">ERO_PNAV</t>
  </si>
  <si>
    <t xml:space="preserve">Deck</t>
  </si>
  <si>
    <t xml:space="preserve">Spot</t>
  </si>
  <si>
    <t xml:space="preserve">Cu 4.00 flat</t>
  </si>
  <si>
    <t xml:space="preserve">Cu 4.50 flat</t>
  </si>
  <si>
    <t xml:space="preserve">Cu 5.00 flat</t>
  </si>
  <si>
    <t xml:space="preserve">Cu 5.50 flat</t>
  </si>
  <si>
    <t xml:space="preserve">Cu 6.00 flat</t>
  </si>
  <si>
    <t xml:space="preserve">Cu 6.50 flat</t>
  </si>
  <si>
    <t xml:space="preserve">Sensitivity tables</t>
  </si>
  <si>
    <t xml:space="preserve">Each cell recomputes the deal with the row and column values; everything else stays at the Merger tab inputs.</t>
  </si>
  <si>
    <t xml:space="preserve">NAVPS accretion / (dilution): offer premium (rows) vs flat copper price, US$/lb (columns)</t>
  </si>
  <si>
    <t xml:space="preserve">Premium \ Copper</t>
  </si>
  <si>
    <t xml:space="preserve">2028E EPS accretion / (dilution): run-rate synergies, US$M (rows) vs cash portion of offer (columns)</t>
  </si>
  <si>
    <t xml:space="preserve">Synergies \ Cash %</t>
  </si>
  <si>
    <t xml:space="preserve">Table 1 holds gold at the analyst deck and uses the Merger tab's cash portion. Table 2 holds the offer premium at the Merger tab input.</t>
  </si>
  <si>
    <t xml:space="preserve">Valuation football field — Ero Copper (C$ per share)</t>
  </si>
  <si>
    <t xml:space="preserve">Each bar is a low–high range. The offer price line comes from the Merger tab.</t>
  </si>
  <si>
    <t xml:space="preserve">Method</t>
  </si>
  <si>
    <t xml:space="preserve">Low</t>
  </si>
  <si>
    <t xml:space="preserve">High</t>
  </si>
  <si>
    <t xml:space="preserve">Offer</t>
  </si>
  <si>
    <t xml:space="preserve">52-week trading range</t>
  </si>
  <si>
    <t xml:space="preserve">Analyst price targets</t>
  </si>
  <si>
    <t xml:space="preserve">Low and high street targets (yfinance)</t>
  </si>
  <si>
    <t xml:space="preserve">Trading comps: EV / EBITDA (TTM)</t>
  </si>
  <si>
    <t xml:space="preserve">Peer 25th–75th percentile x Ero TTM EBITDA, less net debt</t>
  </si>
  <si>
    <t xml:space="preserve">Trading comps: P / CF (TTM)</t>
  </si>
  <si>
    <t xml:space="preserve">Peer 25th–75th percentile x Ero TTM operating cash flow</t>
  </si>
  <si>
    <t xml:space="preserve">Trading comps: EV / lb CuEq reserve</t>
  </si>
  <si>
    <t xml:space="preserve">Peer 25th–75th percentile x Ero P&amp;P reserves (CuEq), less net debt</t>
  </si>
  <si>
    <t xml:space="preserve">Precedent premiums</t>
  </si>
  <si>
    <t xml:space="preserve">25th–75th percentile premium applied to the unaffected price</t>
  </si>
  <si>
    <t xml:space="preserve">NAV at Centerra's P/NAV (deck to spot)</t>
  </si>
  <si>
    <t xml:space="preserve">Relative value in a share deal: Ero NAVPS x the multiple Centerra's own stock trades at</t>
  </si>
  <si>
    <t xml:space="preserve">NAV at 1.0x (deck to spot)</t>
  </si>
  <si>
    <t xml:space="preserve">Reserve-only NAV; excludes resources outside the mine plan</t>
  </si>
  <si>
    <t xml:space="preserve">Offer price (C$)</t>
  </si>
  <si>
    <t xml:space="preserve">Unaffected price (C$)</t>
  </si>
  <si>
    <t xml:space="preserve">Every input traces to one of these documents. Status flags anything estimated or calibrated rather than read directly from a filing.</t>
  </si>
  <si>
    <t xml:space="preserve">source_id</t>
  </si>
  <si>
    <t xml:space="preserve">company</t>
  </si>
  <si>
    <t xml:space="preserve">document</t>
  </si>
  <si>
    <t xml:space="preserve">doc_type</t>
  </si>
  <si>
    <t xml:space="preserve">effective_date</t>
  </si>
  <si>
    <t xml:space="preserve">url</t>
  </si>
  <si>
    <t xml:space="preserve">used_for</t>
  </si>
  <si>
    <t xml:space="preserve">verification_status</t>
  </si>
  <si>
    <t xml:space="preserve">CG-MRMR-2025</t>
  </si>
  <si>
    <t xml:space="preserve">Year-end 2025 Mineral Reserves and Resources tables and footnotes</t>
  </si>
  <si>
    <t xml:space="preserve">MRMR table</t>
  </si>
  <si>
    <t xml:space="preserve">2025-12-31</t>
  </si>
  <si>
    <t xml:space="preserve">https://s205.q4cdn.com/276554285/files/doc_earnings/2025/q4/generic/MRMR-Tables-and-Footnotes.pdf</t>
  </si>
  <si>
    <t xml:space="preserve">Mount Milligan, Öksüt and Goldfield P&amp;P tonnes and gold grades</t>
  </si>
  <si>
    <t xml:space="preserve">verified (gold tonnes and grades)</t>
  </si>
  <si>
    <t xml:space="preserve">CG-MTM-PFS-2025</t>
  </si>
  <si>
    <t xml:space="preserve">Mount Milligan Pre-Feasibility Study (NI 43-101) — life of mine to 2045</t>
  </si>
  <si>
    <t xml:space="preserve">NI 43-101 technical report</t>
  </si>
  <si>
    <t xml:space="preserve">2025-09-11</t>
  </si>
  <si>
    <t xml:space="preserve">https://s205.q4cdn.com/276554285/files/doc_downloads/2025/09/Centerra-Gold-Mount-Milligan-PFS.pdf</t>
  </si>
  <si>
    <t xml:space="preserve">Mine life, ~10% throughput expansion in 2029, US$186M growth capital</t>
  </si>
  <si>
    <t xml:space="preserve">verified (headline figures); copper grade estimated</t>
  </si>
  <si>
    <t xml:space="preserve">CG-Q2-2026</t>
  </si>
  <si>
    <t xml:space="preserve">Q2 2026 results and MD&amp;A (Form 6-K)</t>
  </si>
  <si>
    <t xml:space="preserve">MD&amp;A</t>
  </si>
  <si>
    <t xml:space="preserve">2026-06-30</t>
  </si>
  <si>
    <t xml:space="preserve">https://www.sec.gov/Archives/edgar/data/0001854640/000162828026050229/exh992_20260630.htm</t>
  </si>
  <si>
    <t xml:space="preserve">2026 production and AISC guidance used to calibrate unit costs</t>
  </si>
  <si>
    <t xml:space="preserve">verified (guidance ranges)</t>
  </si>
  <si>
    <t xml:space="preserve">CG-RGLD-STREAM</t>
  </si>
  <si>
    <t xml:space="preserve">Royal Gold / Centerra Gold</t>
  </si>
  <si>
    <t xml:space="preserve">Mount Milligan streaming agreement (summarised in Centerra MD&amp;A)</t>
  </si>
  <si>
    <t xml:space="preserve">Contract summary</t>
  </si>
  <si>
    <t xml:space="preserve">2024-02-13</t>
  </si>
  <si>
    <t xml:space="preserve">https://www.sec.gov/cgi-bin/browse-edgar?action=getcompany&amp;CIK=0001854640</t>
  </si>
  <si>
    <t xml:space="preserve">35% gold at US$435/oz and 18.75% copper at 15% of spot</t>
  </si>
  <si>
    <t xml:space="preserve">verified (headline terms)</t>
  </si>
  <si>
    <t xml:space="preserve">ERO-AIF-2025</t>
  </si>
  <si>
    <t xml:space="preserve">Annual Information Form FY2025 (Form 40-F)</t>
  </si>
  <si>
    <t xml:space="preserve">AIF</t>
  </si>
  <si>
    <t xml:space="preserve">https://www.sec.gov/Archives/edgar/data/1853860/000162828026022073/a991-2026aif.htm</t>
  </si>
  <si>
    <t xml:space="preserve">2025 tonnes processed, copper and gold produced; reserve tables</t>
  </si>
  <si>
    <t xml:space="preserve">verified (2025 production)</t>
  </si>
  <si>
    <t xml:space="preserve">ERO-CARAIBA-OPS</t>
  </si>
  <si>
    <t xml:space="preserve">Caraíba Operations mineral reserves (company website)</t>
  </si>
  <si>
    <t xml:space="preserve">2024-12-31</t>
  </si>
  <si>
    <t xml:space="preserve">https://ero-copper.com/operations/caraiba-operations/index.htm</t>
  </si>
  <si>
    <t xml:space="preserve">Caraíba UG 30.9 Mt @ 1.38% Cu and OP 42.2 Mt @ 0.54% Cu</t>
  </si>
  <si>
    <t xml:space="preserve">verified</t>
  </si>
  <si>
    <t xml:space="preserve">ERO-TUCUMA-TR</t>
  </si>
  <si>
    <t xml:space="preserve">Tucumã Project NI 43-101 technical report reserves</t>
  </si>
  <si>
    <t xml:space="preserve">2021-09-30</t>
  </si>
  <si>
    <t xml:space="preserve">https://minedocs.com/23/Ero-Copper-CP-Oct2022.pdf</t>
  </si>
  <si>
    <t xml:space="preserve">Tucumã P&amp;P 43.1 Mt @ 0.83% Cu (pre-depletion)</t>
  </si>
  <si>
    <t xml:space="preserve">verified (pre-2024 depletion; depleted in model)</t>
  </si>
  <si>
    <t xml:space="preserve">ERO-XAV-2025</t>
  </si>
  <si>
    <t xml:space="preserve">Xavantina Operations updated mineral reserve and resource estimate</t>
  </si>
  <si>
    <t xml:space="preserve">Press release</t>
  </si>
  <si>
    <t xml:space="preserve">2025-10-31</t>
  </si>
  <si>
    <t xml:space="preserve">https://erocopper.com/site/assets/files/6663/ero-copper-press-release-2025-q3.pdf</t>
  </si>
  <si>
    <t xml:space="preserve">Xavantina reserve tonnes and grade</t>
  </si>
  <si>
    <t xml:space="preserve">estimate (reserve tonnes/grade back-solved from 2025 production; replace with technical report table)</t>
  </si>
  <si>
    <t xml:space="preserve">ERO-MDA-2025Q4</t>
  </si>
  <si>
    <t xml:space="preserve">FY2025 MD&amp;A and 2026 guidance (Form 40-F)</t>
  </si>
  <si>
    <t xml:space="preserve">https://www.sec.gov/Archives/edgar/data/1853860/000162828026022073/erocopper-mdax2025q4.htm</t>
  </si>
  <si>
    <t xml:space="preserve">2026 copper/gold guidance, C1 cash cost and AISC used to calibrate unit costs</t>
  </si>
  <si>
    <t xml:space="preserve">ERO-Q2-2026</t>
  </si>
  <si>
    <t xml:space="preserve">Q2 2026 operating and financial results</t>
  </si>
  <si>
    <t xml:space="preserve">https://www.barchart.com/story/news/3675711/ero-copper-reports-second-quarter-2026-operating-and-financial-results</t>
  </si>
  <si>
    <t xml:space="preserve">Reaffirmed copper guidance; revised Xavantina AISC US$2,200–2,700/oz</t>
  </si>
  <si>
    <t xml:space="preserve">MKT-YF</t>
  </si>
  <si>
    <t xml:space="preserve">Yahoo Finance</t>
  </si>
  <si>
    <t xml:space="preserve">Market data via yfinance (prices, shares, cash, debt, TTM EBITDA and cash flow)</t>
  </si>
  <si>
    <t xml:space="preserve">see snapshot timestamp</t>
  </si>
  <si>
    <t xml:space="preserve">https://finance.yahoo.com</t>
  </si>
  <si>
    <t xml:space="preserve">Share prices, shares outstanding, balance sheet, TTM multiples, commodity futures, CAD/USD</t>
  </si>
  <si>
    <t xml:space="preserve">automated (scripts/fetch_market_data.py)</t>
  </si>
  <si>
    <t xml:space="preserve">Asset assumption status (data/asset_assumption_notes.csv)</t>
  </si>
  <si>
    <t xml:space="preserve">asset</t>
  </si>
  <si>
    <t xml:space="preserve">field</t>
  </si>
  <si>
    <t xml:space="preserve">status</t>
  </si>
  <si>
    <t xml:space="preserve">note</t>
  </si>
  <si>
    <t xml:space="preserve">MtMilligan</t>
  </si>
  <si>
    <t xml:space="preserve">reserve_mt|au_gpt</t>
  </si>
  <si>
    <t xml:space="preserve">Year-end 2025 P&amp;P 470.3 Mt @ 0.28 g/t Au (CG-MRMR-2025)</t>
  </si>
  <si>
    <t xml:space="preserve">cu_grade_pct</t>
  </si>
  <si>
    <t xml:space="preserve">estimate</t>
  </si>
  <si>
    <t xml:space="preserve">Copper grade not captured from the MRMR table; 0.16% Cu calibrated to 50–60 Mlb/yr 2026 guidance</t>
  </si>
  <si>
    <t xml:space="preserve">expansion_mtpa|expansion_year|growth_capex_usd_m</t>
  </si>
  <si>
    <t xml:space="preserve">PFS: ~10% throughput increase in 2029 and US$186M growth capital</t>
  </si>
  <si>
    <t xml:space="preserve">recoveries|opex_usd_t|sustaining_usd_m</t>
  </si>
  <si>
    <t xml:space="preserve">calibrated</t>
  </si>
  <si>
    <t xml:space="preserve">Set so 2027 AISC lands in the US$1.2–1.3k/oz guidance range</t>
  </si>
  <si>
    <t xml:space="preserve">stream_*</t>
  </si>
  <si>
    <t xml:space="preserve">Royal Gold stream: 35% of gold at US$435/oz; 18.75% of copper at 15% of spot</t>
  </si>
  <si>
    <t xml:space="preserve">depleted_mt</t>
  </si>
  <si>
    <t xml:space="preserve">2026 ore processed (~59 ktpd)</t>
  </si>
  <si>
    <t xml:space="preserve">Oksut</t>
  </si>
  <si>
    <t xml:space="preserve">Year-end 2025 P&amp;P 15.4 Mt @ 1.02 g/t Au</t>
  </si>
  <si>
    <t xml:space="preserve">nsr_royalty|opex_usd_t</t>
  </si>
  <si>
    <t xml:space="preserve">Set so AISC lands in the US$1,850–1,950/oz 2026 guidance range (includes state royalty)</t>
  </si>
  <si>
    <t xml:space="preserve">Year-end 2025 P&amp;P 33.3 Mt @ 0.66 g/t Au (maiden reserve)</t>
  </si>
  <si>
    <t xml:space="preserve">growth_capex_usd_m|start_year|throughput_mtpa</t>
  </si>
  <si>
    <t xml:space="preserve">Development schedule and capex are analyst estimates pending a construction decision</t>
  </si>
  <si>
    <t xml:space="preserve">Caraiba</t>
  </si>
  <si>
    <t xml:space="preserve">reserve_mt|cu_grade_pct</t>
  </si>
  <si>
    <t xml:space="preserve">Dec 2024 P&amp;P: UG 30.9 Mt @ 1.38% + OP 42.2 Mt @ 0.54% = 73.1 Mt @ 0.90% Cu</t>
  </si>
  <si>
    <t xml:space="preserve">2025 processed 3.66 Mt (verified); 2026 assumed ~3.9 Mt; 2025 depletion netted against grade conservatism</t>
  </si>
  <si>
    <t xml:space="preserve">opex_usd_t|tcrc_usd_lb</t>
  </si>
  <si>
    <t xml:space="preserve">Set so C1 lands near the US$2.30–2.50/lb 2026 guidance</t>
  </si>
  <si>
    <t xml:space="preserve">sustaining_usd_m</t>
  </si>
  <si>
    <t xml:space="preserve">Set so AISC lands near US$3.25/lb (C1 plus sustaining capex and royalties)</t>
  </si>
  <si>
    <t xml:space="preserve">Tucuma</t>
  </si>
  <si>
    <t xml:space="preserve">Sep 2021 P&amp;P 43.1 Mt @ 0.83% Cu (pre-production)</t>
  </si>
  <si>
    <t xml:space="preserve">2024–2026 ore processed (2025 verified at 1.81 Mt)</t>
  </si>
  <si>
    <t xml:space="preserve">opex_usd_t</t>
  </si>
  <si>
    <t xml:space="preserve">Set so C1 lands near the US$1.95–2.15/lb 2026 guidance</t>
  </si>
  <si>
    <t xml:space="preserve">expansion_mtpa|sustaining_usd_m</t>
  </si>
  <si>
    <t xml:space="preserve">4.4 Mtpa from 2027 reflects plant throughput upgrades due Q4 2026 (ERO-Q2-2026); sustaining capex is an analyst estimate</t>
  </si>
  <si>
    <t xml:space="preserve">Back-solved from 2025 production (172 kt processed; 37.3 koz) and 40–50 koz/yr guidance; replace with the 2025 reserve update table</t>
  </si>
  <si>
    <t xml:space="preserve">opex_usd_t|sustaining_usd_m</t>
  </si>
  <si>
    <t xml:space="preserve">Set so AISC lands in the revised US$2,200–2,700/oz guidance range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</si>
</sst>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;\(#,##0.00\);\-"/>
    <numFmt numFmtId="166" formatCode="#,##0;\(#,##0\);\-"/>
    <numFmt numFmtId="167" formatCode="0.000;\(0.000\);\-"/>
    <numFmt numFmtId="168" formatCode="0"/>
    <numFmt numFmtId="169" formatCode="0.0%;\(0.0%\);\-"/>
    <numFmt numFmtId="170" formatCode="#,##0.0;\(#,##0.0\);\-"/>
    <numFmt numFmtId="171" formatCode="0.00%;\(0.00%\);\-"/>
    <numFmt numFmtId="172" formatCode="0.0000"/>
    <numFmt numFmtId="173" formatCode="0.00\x;\(0.00&quot;x)&quot;;\-"/>
    <numFmt numFmtId="174" formatCode="0.00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CE3E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8"/>
    <col collapsed="false" customWidth="true" hidden="false" outlineLevel="0" max="3" min="3" style="1" width="90"/>
  </cols>
  <sheetData>
    <row r="1" customFormat="false" ht="17.2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4" customFormat="false" ht="15" hidden="false" customHeight="true" outlineLevel="0" collapsed="false">
      <c r="B4" s="4" t="s">
        <v>2</v>
      </c>
      <c r="C4" s="4" t="s">
        <v>3</v>
      </c>
    </row>
    <row r="5" customFormat="false" ht="15" hidden="false" customHeight="true" outlineLevel="0" collapsed="false">
      <c r="B5" s="5" t="s">
        <v>4</v>
      </c>
      <c r="C5" s="6" t="s">
        <v>5</v>
      </c>
    </row>
    <row r="6" customFormat="false" ht="15" hidden="false" customHeight="true" outlineLevel="0" collapsed="false">
      <c r="B6" s="5" t="s">
        <v>6</v>
      </c>
      <c r="C6" s="6" t="s">
        <v>7</v>
      </c>
    </row>
    <row r="7" customFormat="false" ht="15" hidden="false" customHeight="true" outlineLevel="0" collapsed="false">
      <c r="B7" s="5" t="s">
        <v>8</v>
      </c>
      <c r="C7" s="6" t="s">
        <v>9</v>
      </c>
    </row>
    <row r="8" customFormat="false" ht="15" hidden="false" customHeight="true" outlineLevel="0" collapsed="false">
      <c r="B8" s="5" t="s">
        <v>10</v>
      </c>
      <c r="C8" s="6" t="s">
        <v>11</v>
      </c>
    </row>
    <row r="9" customFormat="false" ht="15" hidden="false" customHeight="true" outlineLevel="0" collapsed="false">
      <c r="B9" s="5" t="s">
        <v>12</v>
      </c>
      <c r="C9" s="6" t="s">
        <v>13</v>
      </c>
    </row>
    <row r="10" customFormat="false" ht="15" hidden="false" customHeight="true" outlineLevel="0" collapsed="false">
      <c r="B10" s="5" t="s">
        <v>14</v>
      </c>
      <c r="C10" s="6" t="s">
        <v>15</v>
      </c>
    </row>
    <row r="11" customFormat="false" ht="15" hidden="false" customHeight="true" outlineLevel="0" collapsed="false">
      <c r="B11" s="5" t="s">
        <v>16</v>
      </c>
      <c r="C11" s="6" t="s">
        <v>17</v>
      </c>
    </row>
    <row r="12" customFormat="false" ht="15" hidden="false" customHeight="true" outlineLevel="0" collapsed="false">
      <c r="B12" s="5" t="s">
        <v>18</v>
      </c>
      <c r="C12" s="6" t="s">
        <v>19</v>
      </c>
    </row>
    <row r="13" customFormat="false" ht="15" hidden="false" customHeight="true" outlineLevel="0" collapsed="false">
      <c r="B13" s="5" t="s">
        <v>20</v>
      </c>
      <c r="C13" s="6" t="s">
        <v>21</v>
      </c>
    </row>
    <row r="14" customFormat="false" ht="15" hidden="false" customHeight="true" outlineLevel="0" collapsed="false">
      <c r="B14" s="5" t="s">
        <v>22</v>
      </c>
      <c r="C14" s="6" t="s">
        <v>23</v>
      </c>
    </row>
    <row r="15" customFormat="false" ht="15" hidden="false" customHeight="true" outlineLevel="0" collapsed="false">
      <c r="B15" s="5" t="s">
        <v>24</v>
      </c>
      <c r="C15" s="6" t="s">
        <v>25</v>
      </c>
    </row>
    <row r="16" customFormat="false" ht="15" hidden="false" customHeight="true" outlineLevel="0" collapsed="false">
      <c r="B16" s="5" t="s">
        <v>26</v>
      </c>
      <c r="C16" s="6" t="s">
        <v>27</v>
      </c>
    </row>
    <row r="17" customFormat="false" ht="15" hidden="false" customHeight="true" outlineLevel="0" collapsed="false">
      <c r="B17" s="5" t="s">
        <v>28</v>
      </c>
      <c r="C17" s="6" t="s">
        <v>29</v>
      </c>
    </row>
    <row r="19" customFormat="false" ht="15" hidden="false" customHeight="true" outlineLevel="0" collapsed="false">
      <c r="B19" s="4" t="s">
        <v>30</v>
      </c>
      <c r="C19" s="4" t="s">
        <v>31</v>
      </c>
    </row>
    <row r="20" customFormat="false" ht="15" hidden="false" customHeight="true" outlineLevel="0" collapsed="false">
      <c r="B20" s="7" t="s">
        <v>32</v>
      </c>
      <c r="C20" s="6" t="s">
        <v>33</v>
      </c>
    </row>
    <row r="21" customFormat="false" ht="15" hidden="false" customHeight="true" outlineLevel="0" collapsed="false">
      <c r="B21" s="6" t="s">
        <v>34</v>
      </c>
      <c r="C21" s="6" t="s">
        <v>35</v>
      </c>
    </row>
    <row r="22" customFormat="false" ht="15" hidden="false" customHeight="true" outlineLevel="0" collapsed="false">
      <c r="B22" s="8" t="s">
        <v>36</v>
      </c>
      <c r="C22" s="6" t="s">
        <v>37</v>
      </c>
    </row>
    <row r="23" customFormat="false" ht="15" hidden="false" customHeight="true" outlineLevel="0" collapsed="false">
      <c r="B23" s="9" t="s">
        <v>38</v>
      </c>
      <c r="C23" s="6" t="s">
        <v>39</v>
      </c>
    </row>
    <row r="25" customFormat="false" ht="15" hidden="false" customHeight="true" outlineLevel="0" collapsed="false">
      <c r="B25" s="5" t="s">
        <v>40</v>
      </c>
      <c r="C25" s="6" t="s">
        <v>41</v>
      </c>
    </row>
    <row r="26" customFormat="false" ht="15" hidden="false" customHeight="true" outlineLevel="0" collapsed="false">
      <c r="B26" s="5" t="s">
        <v>42</v>
      </c>
      <c r="C26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4" min="3" style="1" width="12"/>
    <col collapsed="false" customWidth="true" hidden="false" outlineLevel="0" max="5" min="5" style="1" width="60"/>
    <col collapsed="false" customWidth="true" hidden="false" outlineLevel="0" max="29" min="6" style="1" width="9"/>
  </cols>
  <sheetData>
    <row r="1" customFormat="false" ht="17.25" hidden="false" customHeight="true" outlineLevel="0" collapsed="false">
      <c r="B1" s="2" t="s">
        <v>4</v>
      </c>
    </row>
    <row r="2" customFormat="false" ht="15" hidden="false" customHeight="true" outlineLevel="0" collapsed="false">
      <c r="B2" s="3" t="s">
        <v>44</v>
      </c>
    </row>
    <row r="4" customFormat="false" ht="15" hidden="false" customHeight="true" outlineLevel="0" collapsed="false">
      <c r="B4" s="10" t="s">
        <v>45</v>
      </c>
      <c r="C4" s="11"/>
      <c r="D4" s="11"/>
      <c r="E4" s="11"/>
    </row>
    <row r="5" customFormat="false" ht="15" hidden="false" customHeight="true" outlineLevel="0" collapsed="false">
      <c r="B5" s="6" t="s">
        <v>46</v>
      </c>
      <c r="C5" s="12" t="n">
        <v>6.476</v>
      </c>
      <c r="D5" s="13" t="s">
        <v>47</v>
      </c>
      <c r="E5" s="13" t="s">
        <v>48</v>
      </c>
    </row>
    <row r="6" customFormat="false" ht="15" hidden="false" customHeight="true" outlineLevel="0" collapsed="false">
      <c r="B6" s="6" t="s">
        <v>49</v>
      </c>
      <c r="C6" s="14" t="n">
        <v>4007.8999</v>
      </c>
      <c r="D6" s="13" t="s">
        <v>50</v>
      </c>
      <c r="E6" s="13" t="s">
        <v>48</v>
      </c>
    </row>
    <row r="7" customFormat="false" ht="15" hidden="false" customHeight="true" outlineLevel="0" collapsed="false">
      <c r="B7" s="6" t="s">
        <v>51</v>
      </c>
      <c r="C7" s="15" t="n">
        <v>0.7141</v>
      </c>
      <c r="D7" s="13" t="s">
        <v>52</v>
      </c>
      <c r="E7" s="13" t="s">
        <v>48</v>
      </c>
    </row>
    <row r="9" customFormat="false" ht="15" hidden="false" customHeight="true" outlineLevel="0" collapsed="false">
      <c r="B9" s="10" t="s">
        <v>53</v>
      </c>
      <c r="C9" s="11"/>
      <c r="D9" s="11"/>
      <c r="E9" s="11"/>
    </row>
    <row r="10" customFormat="false" ht="15" hidden="false" customHeight="true" outlineLevel="0" collapsed="false">
      <c r="B10" s="6" t="s">
        <v>54</v>
      </c>
      <c r="C10" s="16" t="n">
        <v>1</v>
      </c>
    </row>
    <row r="11" customFormat="false" ht="15" hidden="false" customHeight="true" outlineLevel="0" collapsed="false">
      <c r="B11" s="6" t="s">
        <v>55</v>
      </c>
      <c r="C11" s="16" t="n">
        <v>1</v>
      </c>
    </row>
    <row r="12" customFormat="false" ht="15" hidden="false" customHeight="true" outlineLevel="0" collapsed="false">
      <c r="B12" s="6" t="s">
        <v>56</v>
      </c>
      <c r="C12" s="17" t="n">
        <v>4.5</v>
      </c>
    </row>
    <row r="13" customFormat="false" ht="15" hidden="false" customHeight="true" outlineLevel="0" collapsed="false">
      <c r="B13" s="6" t="s">
        <v>57</v>
      </c>
      <c r="C13" s="18" t="n">
        <v>3000</v>
      </c>
    </row>
    <row r="15" customFormat="false" ht="15" hidden="false" customHeight="true" outlineLevel="0" collapsed="false">
      <c r="B15" s="4" t="s">
        <v>58</v>
      </c>
      <c r="C15" s="4"/>
      <c r="D15" s="4"/>
      <c r="E15" s="4" t="s">
        <v>59</v>
      </c>
      <c r="F15" s="4" t="n">
        <v>2027</v>
      </c>
      <c r="G15" s="4" t="n">
        <v>2028</v>
      </c>
      <c r="H15" s="4" t="n">
        <v>2029</v>
      </c>
      <c r="I15" s="4" t="n">
        <v>2030</v>
      </c>
      <c r="J15" s="4" t="n">
        <v>2031</v>
      </c>
      <c r="K15" s="4" t="n">
        <v>2032</v>
      </c>
      <c r="L15" s="4" t="n">
        <v>2033</v>
      </c>
      <c r="M15" s="4" t="n">
        <v>2034</v>
      </c>
      <c r="N15" s="4" t="n">
        <v>2035</v>
      </c>
      <c r="O15" s="4" t="n">
        <v>2036</v>
      </c>
      <c r="P15" s="4" t="n">
        <v>2037</v>
      </c>
      <c r="Q15" s="4" t="n">
        <v>2038</v>
      </c>
      <c r="R15" s="4" t="n">
        <v>2039</v>
      </c>
      <c r="S15" s="4" t="n">
        <v>2040</v>
      </c>
      <c r="T15" s="4" t="n">
        <v>2041</v>
      </c>
      <c r="U15" s="4" t="n">
        <v>2042</v>
      </c>
      <c r="V15" s="4" t="n">
        <v>2043</v>
      </c>
      <c r="W15" s="4" t="n">
        <v>2044</v>
      </c>
      <c r="X15" s="4" t="n">
        <v>2045</v>
      </c>
      <c r="Y15" s="4" t="n">
        <v>2046</v>
      </c>
      <c r="Z15" s="4" t="n">
        <v>2047</v>
      </c>
      <c r="AA15" s="4" t="n">
        <v>2048</v>
      </c>
      <c r="AB15" s="4" t="n">
        <v>2049</v>
      </c>
      <c r="AC15" s="4" t="n">
        <v>2050</v>
      </c>
    </row>
    <row r="16" customFormat="false" ht="15" hidden="false" customHeight="true" outlineLevel="0" collapsed="false">
      <c r="B16" s="6" t="s">
        <v>60</v>
      </c>
      <c r="E16" s="13" t="s">
        <v>61</v>
      </c>
      <c r="F16" s="12" t="n">
        <v>6</v>
      </c>
      <c r="G16" s="12" t="n">
        <v>5.5</v>
      </c>
      <c r="H16" s="12" t="n">
        <v>5</v>
      </c>
      <c r="I16" s="12" t="n">
        <v>5</v>
      </c>
      <c r="J16" s="12" t="n">
        <v>5</v>
      </c>
      <c r="K16" s="12" t="n">
        <v>5</v>
      </c>
      <c r="L16" s="12" t="n">
        <v>5</v>
      </c>
      <c r="M16" s="12" t="n">
        <v>5</v>
      </c>
      <c r="N16" s="12" t="n">
        <v>5</v>
      </c>
      <c r="O16" s="12" t="n">
        <v>5</v>
      </c>
      <c r="P16" s="12" t="n">
        <v>5</v>
      </c>
      <c r="Q16" s="12" t="n">
        <v>5</v>
      </c>
      <c r="R16" s="12" t="n">
        <v>5</v>
      </c>
      <c r="S16" s="12" t="n">
        <v>5</v>
      </c>
      <c r="T16" s="12" t="n">
        <v>5</v>
      </c>
      <c r="U16" s="12" t="n">
        <v>5</v>
      </c>
      <c r="V16" s="12" t="n">
        <v>5</v>
      </c>
      <c r="W16" s="12" t="n">
        <v>5</v>
      </c>
      <c r="X16" s="12" t="n">
        <v>5</v>
      </c>
      <c r="Y16" s="12" t="n">
        <v>5</v>
      </c>
      <c r="Z16" s="12" t="n">
        <v>5</v>
      </c>
      <c r="AA16" s="12" t="n">
        <v>5</v>
      </c>
      <c r="AB16" s="12" t="n">
        <v>5</v>
      </c>
      <c r="AC16" s="12" t="n">
        <v>5</v>
      </c>
    </row>
    <row r="17" customFormat="false" ht="15" hidden="false" customHeight="true" outlineLevel="0" collapsed="false">
      <c r="B17" s="6" t="s">
        <v>62</v>
      </c>
      <c r="E17" s="13" t="s">
        <v>61</v>
      </c>
      <c r="F17" s="14" t="n">
        <v>3900</v>
      </c>
      <c r="G17" s="14" t="n">
        <v>3600</v>
      </c>
      <c r="H17" s="14" t="n">
        <v>3300</v>
      </c>
      <c r="I17" s="14" t="n">
        <v>3300</v>
      </c>
      <c r="J17" s="14" t="n">
        <v>3300</v>
      </c>
      <c r="K17" s="14" t="n">
        <v>3300</v>
      </c>
      <c r="L17" s="14" t="n">
        <v>3300</v>
      </c>
      <c r="M17" s="14" t="n">
        <v>3300</v>
      </c>
      <c r="N17" s="14" t="n">
        <v>3300</v>
      </c>
      <c r="O17" s="14" t="n">
        <v>3300</v>
      </c>
      <c r="P17" s="14" t="n">
        <v>3300</v>
      </c>
      <c r="Q17" s="14" t="n">
        <v>3300</v>
      </c>
      <c r="R17" s="14" t="n">
        <v>3300</v>
      </c>
      <c r="S17" s="14" t="n">
        <v>3300</v>
      </c>
      <c r="T17" s="14" t="n">
        <v>3300</v>
      </c>
      <c r="U17" s="14" t="n">
        <v>3300</v>
      </c>
      <c r="V17" s="14" t="n">
        <v>3300</v>
      </c>
      <c r="W17" s="14" t="n">
        <v>3300</v>
      </c>
      <c r="X17" s="14" t="n">
        <v>3300</v>
      </c>
      <c r="Y17" s="14" t="n">
        <v>3300</v>
      </c>
      <c r="Z17" s="14" t="n">
        <v>3300</v>
      </c>
      <c r="AA17" s="14" t="n">
        <v>3300</v>
      </c>
      <c r="AB17" s="14" t="n">
        <v>3300</v>
      </c>
      <c r="AC17" s="14" t="n">
        <v>3300</v>
      </c>
    </row>
    <row r="18" customFormat="false" ht="15" hidden="false" customHeight="true" outlineLevel="0" collapsed="false">
      <c r="B18" s="5" t="s">
        <v>63</v>
      </c>
      <c r="E18" s="13" t="s">
        <v>64</v>
      </c>
      <c r="F18" s="19" t="n">
        <f aca="false">CHOOSE($C$10,F16,$C$5,$C$12)</f>
        <v>6</v>
      </c>
      <c r="G18" s="19" t="n">
        <f aca="false">CHOOSE($C$10,G16,$C$5,$C$12)</f>
        <v>5.5</v>
      </c>
      <c r="H18" s="19" t="n">
        <f aca="false">CHOOSE($C$10,H16,$C$5,$C$12)</f>
        <v>5</v>
      </c>
      <c r="I18" s="19" t="n">
        <f aca="false">CHOOSE($C$10,I16,$C$5,$C$12)</f>
        <v>5</v>
      </c>
      <c r="J18" s="19" t="n">
        <f aca="false">CHOOSE($C$10,J16,$C$5,$C$12)</f>
        <v>5</v>
      </c>
      <c r="K18" s="19" t="n">
        <f aca="false">CHOOSE($C$10,K16,$C$5,$C$12)</f>
        <v>5</v>
      </c>
      <c r="L18" s="19" t="n">
        <f aca="false">CHOOSE($C$10,L16,$C$5,$C$12)</f>
        <v>5</v>
      </c>
      <c r="M18" s="19" t="n">
        <f aca="false">CHOOSE($C$10,M16,$C$5,$C$12)</f>
        <v>5</v>
      </c>
      <c r="N18" s="19" t="n">
        <f aca="false">CHOOSE($C$10,N16,$C$5,$C$12)</f>
        <v>5</v>
      </c>
      <c r="O18" s="19" t="n">
        <f aca="false">CHOOSE($C$10,O16,$C$5,$C$12)</f>
        <v>5</v>
      </c>
      <c r="P18" s="19" t="n">
        <f aca="false">CHOOSE($C$10,P16,$C$5,$C$12)</f>
        <v>5</v>
      </c>
      <c r="Q18" s="19" t="n">
        <f aca="false">CHOOSE($C$10,Q16,$C$5,$C$12)</f>
        <v>5</v>
      </c>
      <c r="R18" s="19" t="n">
        <f aca="false">CHOOSE($C$10,R16,$C$5,$C$12)</f>
        <v>5</v>
      </c>
      <c r="S18" s="19" t="n">
        <f aca="false">CHOOSE($C$10,S16,$C$5,$C$12)</f>
        <v>5</v>
      </c>
      <c r="T18" s="19" t="n">
        <f aca="false">CHOOSE($C$10,T16,$C$5,$C$12)</f>
        <v>5</v>
      </c>
      <c r="U18" s="19" t="n">
        <f aca="false">CHOOSE($C$10,U16,$C$5,$C$12)</f>
        <v>5</v>
      </c>
      <c r="V18" s="19" t="n">
        <f aca="false">CHOOSE($C$10,V16,$C$5,$C$12)</f>
        <v>5</v>
      </c>
      <c r="W18" s="19" t="n">
        <f aca="false">CHOOSE($C$10,W16,$C$5,$C$12)</f>
        <v>5</v>
      </c>
      <c r="X18" s="19" t="n">
        <f aca="false">CHOOSE($C$10,X16,$C$5,$C$12)</f>
        <v>5</v>
      </c>
      <c r="Y18" s="19" t="n">
        <f aca="false">CHOOSE($C$10,Y16,$C$5,$C$12)</f>
        <v>5</v>
      </c>
      <c r="Z18" s="19" t="n">
        <f aca="false">CHOOSE($C$10,Z16,$C$5,$C$12)</f>
        <v>5</v>
      </c>
      <c r="AA18" s="19" t="n">
        <f aca="false">CHOOSE($C$10,AA16,$C$5,$C$12)</f>
        <v>5</v>
      </c>
      <c r="AB18" s="19" t="n">
        <f aca="false">CHOOSE($C$10,AB16,$C$5,$C$12)</f>
        <v>5</v>
      </c>
      <c r="AC18" s="19" t="n">
        <f aca="false">CHOOSE($C$10,AC16,$C$5,$C$12)</f>
        <v>5</v>
      </c>
    </row>
    <row r="19" customFormat="false" ht="15" hidden="false" customHeight="true" outlineLevel="0" collapsed="false">
      <c r="B19" s="5" t="s">
        <v>65</v>
      </c>
      <c r="E19" s="13" t="s">
        <v>64</v>
      </c>
      <c r="F19" s="20" t="n">
        <f aca="false">CHOOSE($C$11,F17,$C$6,$C$13)</f>
        <v>3900</v>
      </c>
      <c r="G19" s="20" t="n">
        <f aca="false">CHOOSE($C$11,G17,$C$6,$C$13)</f>
        <v>3600</v>
      </c>
      <c r="H19" s="20" t="n">
        <f aca="false">CHOOSE($C$11,H17,$C$6,$C$13)</f>
        <v>3300</v>
      </c>
      <c r="I19" s="20" t="n">
        <f aca="false">CHOOSE($C$11,I17,$C$6,$C$13)</f>
        <v>3300</v>
      </c>
      <c r="J19" s="20" t="n">
        <f aca="false">CHOOSE($C$11,J17,$C$6,$C$13)</f>
        <v>3300</v>
      </c>
      <c r="K19" s="20" t="n">
        <f aca="false">CHOOSE($C$11,K17,$C$6,$C$13)</f>
        <v>3300</v>
      </c>
      <c r="L19" s="20" t="n">
        <f aca="false">CHOOSE($C$11,L17,$C$6,$C$13)</f>
        <v>3300</v>
      </c>
      <c r="M19" s="20" t="n">
        <f aca="false">CHOOSE($C$11,M17,$C$6,$C$13)</f>
        <v>3300</v>
      </c>
      <c r="N19" s="20" t="n">
        <f aca="false">CHOOSE($C$11,N17,$C$6,$C$13)</f>
        <v>3300</v>
      </c>
      <c r="O19" s="20" t="n">
        <f aca="false">CHOOSE($C$11,O17,$C$6,$C$13)</f>
        <v>3300</v>
      </c>
      <c r="P19" s="20" t="n">
        <f aca="false">CHOOSE($C$11,P17,$C$6,$C$13)</f>
        <v>3300</v>
      </c>
      <c r="Q19" s="20" t="n">
        <f aca="false">CHOOSE($C$11,Q17,$C$6,$C$13)</f>
        <v>3300</v>
      </c>
      <c r="R19" s="20" t="n">
        <f aca="false">CHOOSE($C$11,R17,$C$6,$C$13)</f>
        <v>3300</v>
      </c>
      <c r="S19" s="20" t="n">
        <f aca="false">CHOOSE($C$11,S17,$C$6,$C$13)</f>
        <v>3300</v>
      </c>
      <c r="T19" s="20" t="n">
        <f aca="false">CHOOSE($C$11,T17,$C$6,$C$13)</f>
        <v>3300</v>
      </c>
      <c r="U19" s="20" t="n">
        <f aca="false">CHOOSE($C$11,U17,$C$6,$C$13)</f>
        <v>3300</v>
      </c>
      <c r="V19" s="20" t="n">
        <f aca="false">CHOOSE($C$11,V17,$C$6,$C$13)</f>
        <v>3300</v>
      </c>
      <c r="W19" s="20" t="n">
        <f aca="false">CHOOSE($C$11,W17,$C$6,$C$13)</f>
        <v>3300</v>
      </c>
      <c r="X19" s="20" t="n">
        <f aca="false">CHOOSE($C$11,X17,$C$6,$C$13)</f>
        <v>3300</v>
      </c>
      <c r="Y19" s="20" t="n">
        <f aca="false">CHOOSE($C$11,Y17,$C$6,$C$13)</f>
        <v>3300</v>
      </c>
      <c r="Z19" s="20" t="n">
        <f aca="false">CHOOSE($C$11,Z17,$C$6,$C$13)</f>
        <v>3300</v>
      </c>
      <c r="AA19" s="20" t="n">
        <f aca="false">CHOOSE($C$11,AA17,$C$6,$C$13)</f>
        <v>3300</v>
      </c>
      <c r="AB19" s="20" t="n">
        <f aca="false">CHOOSE($C$11,AB17,$C$6,$C$13)</f>
        <v>3300</v>
      </c>
      <c r="AC19" s="20" t="n">
        <f aca="false">CHOOSE($C$11,AC17,$C$6,$C$13)</f>
        <v>3300</v>
      </c>
    </row>
    <row r="21" customFormat="false" ht="15" hidden="false" customHeight="true" outlineLevel="0" collapsed="false">
      <c r="B21" s="4" t="s">
        <v>66</v>
      </c>
      <c r="C21" s="4" t="s">
        <v>67</v>
      </c>
      <c r="D21" s="4"/>
      <c r="E21" s="4" t="s">
        <v>68</v>
      </c>
    </row>
    <row r="22" customFormat="false" ht="15" hidden="false" customHeight="true" outlineLevel="0" collapsed="false">
      <c r="B22" s="6" t="s">
        <v>69</v>
      </c>
      <c r="C22" s="21" t="n">
        <v>0.065</v>
      </c>
      <c r="E22" s="13" t="s">
        <v>70</v>
      </c>
    </row>
    <row r="23" customFormat="false" ht="15" hidden="false" customHeight="true" outlineLevel="0" collapsed="false">
      <c r="B23" s="6" t="s">
        <v>71</v>
      </c>
      <c r="C23" s="21" t="n">
        <v>0.05</v>
      </c>
      <c r="E23" s="13" t="s">
        <v>72</v>
      </c>
    </row>
    <row r="24" customFormat="false" ht="15" hidden="false" customHeight="true" outlineLevel="0" collapsed="false">
      <c r="B24" s="6" t="s">
        <v>73</v>
      </c>
      <c r="C24" s="21" t="n">
        <v>0.05</v>
      </c>
      <c r="E24" s="13" t="s">
        <v>74</v>
      </c>
    </row>
    <row r="25" customFormat="false" ht="15" hidden="false" customHeight="true" outlineLevel="0" collapsed="false">
      <c r="B25" s="6" t="s">
        <v>75</v>
      </c>
      <c r="C25" s="21" t="n">
        <v>0.08</v>
      </c>
      <c r="E25" s="13" t="s">
        <v>76</v>
      </c>
    </row>
    <row r="26" customFormat="false" ht="15" hidden="false" customHeight="true" outlineLevel="0" collapsed="false">
      <c r="B26" s="6" t="s">
        <v>77</v>
      </c>
      <c r="C26" s="21" t="n">
        <v>0.08</v>
      </c>
      <c r="E26" s="13" t="s">
        <v>76</v>
      </c>
    </row>
    <row r="27" customFormat="false" ht="15" hidden="false" customHeight="true" outlineLevel="0" collapsed="false">
      <c r="B27" s="6" t="s">
        <v>78</v>
      </c>
      <c r="C27" s="21" t="n">
        <v>0.05</v>
      </c>
      <c r="E27" s="13" t="s">
        <v>79</v>
      </c>
    </row>
    <row r="29" customFormat="false" ht="15" hidden="false" customHeight="true" outlineLevel="0" collapsed="false">
      <c r="B29" s="10" t="s">
        <v>80</v>
      </c>
      <c r="C29" s="11"/>
      <c r="D29" s="11"/>
      <c r="E29" s="11"/>
    </row>
    <row r="30" customFormat="false" ht="15" hidden="false" customHeight="true" outlineLevel="0" collapsed="false">
      <c r="B30" s="6" t="s">
        <v>81</v>
      </c>
      <c r="C30" s="22" t="n">
        <v>10</v>
      </c>
    </row>
    <row r="31" customFormat="false" ht="15" hidden="false" customHeight="true" outlineLevel="0" collapsed="false">
      <c r="B31" s="6" t="s">
        <v>82</v>
      </c>
      <c r="C31" s="23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18"/>
    <col collapsed="false" customWidth="true" hidden="false" outlineLevel="0" max="18" min="4" style="1" width="13"/>
  </cols>
  <sheetData>
    <row r="1" customFormat="false" ht="17.25" hidden="false" customHeight="true" outlineLevel="0" collapsed="false">
      <c r="B1" s="2" t="s">
        <v>83</v>
      </c>
    </row>
    <row r="2" customFormat="false" ht="15" hidden="false" customHeight="true" outlineLevel="0" collapsed="false">
      <c r="B2" s="3" t="s">
        <v>84</v>
      </c>
    </row>
    <row r="4" customFormat="false" ht="15" hidden="false" customHeight="true" outlineLevel="0" collapsed="false">
      <c r="B4" s="4" t="s">
        <v>85</v>
      </c>
      <c r="C4" s="4" t="s">
        <v>86</v>
      </c>
      <c r="D4" s="4" t="s">
        <v>87</v>
      </c>
      <c r="E4" s="4" t="s">
        <v>88</v>
      </c>
      <c r="F4" s="4" t="s">
        <v>89</v>
      </c>
      <c r="G4" s="4" t="s">
        <v>90</v>
      </c>
      <c r="H4" s="4" t="s">
        <v>91</v>
      </c>
      <c r="I4" s="4" t="s">
        <v>92</v>
      </c>
      <c r="J4" s="4" t="s">
        <v>93</v>
      </c>
      <c r="K4" s="4" t="s">
        <v>94</v>
      </c>
      <c r="L4" s="4" t="s">
        <v>95</v>
      </c>
      <c r="M4" s="4" t="s">
        <v>96</v>
      </c>
      <c r="N4" s="4" t="s">
        <v>97</v>
      </c>
      <c r="O4" s="4" t="s">
        <v>98</v>
      </c>
      <c r="P4" s="4" t="s">
        <v>99</v>
      </c>
      <c r="Q4" s="4" t="s">
        <v>100</v>
      </c>
    </row>
    <row r="5" customFormat="false" ht="15" hidden="false" customHeight="true" outlineLevel="0" collapsed="false">
      <c r="B5" s="5" t="s">
        <v>101</v>
      </c>
      <c r="C5" s="7" t="s">
        <v>102</v>
      </c>
      <c r="D5" s="12" t="n">
        <v>28.32</v>
      </c>
      <c r="E5" s="24" t="n">
        <v>198.595055</v>
      </c>
      <c r="F5" s="14" t="n">
        <v>4016.14652657862</v>
      </c>
      <c r="G5" s="14" t="n">
        <v>453.103008</v>
      </c>
      <c r="H5" s="14" t="n">
        <v>45.762</v>
      </c>
      <c r="I5" s="14" t="n">
        <v>3608.80551857862</v>
      </c>
      <c r="J5" s="14" t="n">
        <v>859.96064</v>
      </c>
      <c r="K5" s="14" t="n">
        <v>450.990016</v>
      </c>
      <c r="L5" s="12" t="n">
        <v>4.35</v>
      </c>
      <c r="M5" s="12" t="n">
        <v>14.65</v>
      </c>
      <c r="N5" s="12" t="n">
        <v>33.94</v>
      </c>
      <c r="O5" s="12" t="n">
        <v>22.522635</v>
      </c>
      <c r="P5" s="12" t="n">
        <v>33.624023</v>
      </c>
      <c r="Q5" s="12" t="n">
        <v>44.73018</v>
      </c>
    </row>
    <row r="6" customFormat="false" ht="15" hidden="false" customHeight="true" outlineLevel="0" collapsed="false">
      <c r="B6" s="5" t="s">
        <v>103</v>
      </c>
      <c r="C6" s="7" t="s">
        <v>104</v>
      </c>
      <c r="D6" s="12" t="n">
        <v>42.03</v>
      </c>
      <c r="E6" s="24" t="n">
        <v>104.302633</v>
      </c>
      <c r="F6" s="14" t="n">
        <v>3130.41943944448</v>
      </c>
      <c r="G6" s="14" t="n">
        <v>101.742</v>
      </c>
      <c r="H6" s="14" t="n">
        <v>573.355008</v>
      </c>
      <c r="I6" s="14" t="n">
        <v>3602.03244744448</v>
      </c>
      <c r="J6" s="14" t="n">
        <v>517.025984</v>
      </c>
      <c r="K6" s="14" t="n">
        <v>470.059008</v>
      </c>
      <c r="L6" s="12" t="n">
        <v>4.08</v>
      </c>
      <c r="M6" s="12" t="n">
        <v>27.22</v>
      </c>
      <c r="N6" s="12" t="n">
        <v>56.62</v>
      </c>
      <c r="O6" s="12" t="n">
        <v>47</v>
      </c>
      <c r="P6" s="12" t="n">
        <v>56.83312</v>
      </c>
      <c r="Q6" s="12" t="n">
        <v>68</v>
      </c>
    </row>
    <row r="7" customFormat="false" ht="15" hidden="false" customHeight="true" outlineLevel="0" collapsed="false">
      <c r="B7" s="5" t="s">
        <v>105</v>
      </c>
      <c r="C7" s="7" t="s">
        <v>106</v>
      </c>
      <c r="D7" s="12" t="n">
        <v>11.19</v>
      </c>
      <c r="E7" s="24" t="n">
        <v>763.949339</v>
      </c>
      <c r="F7" s="14" t="n">
        <v>6104.39342582041</v>
      </c>
      <c r="G7" s="14" t="n">
        <v>371.168992</v>
      </c>
      <c r="H7" s="14" t="n">
        <v>1567.667968</v>
      </c>
      <c r="I7" s="14" t="n">
        <v>7300.89240182041</v>
      </c>
      <c r="J7" s="14" t="n">
        <v>985.724032</v>
      </c>
      <c r="K7" s="14" t="n">
        <v>827.246976</v>
      </c>
      <c r="L7" s="12" t="n">
        <v>0.84</v>
      </c>
      <c r="M7" s="12" t="n">
        <v>9.3</v>
      </c>
      <c r="N7" s="12" t="n">
        <v>18.04</v>
      </c>
      <c r="O7" s="12" t="n">
        <v>15</v>
      </c>
      <c r="P7" s="12" t="n">
        <v>18.009</v>
      </c>
      <c r="Q7" s="12" t="n">
        <v>22</v>
      </c>
    </row>
    <row r="8" customFormat="false" ht="15" hidden="false" customHeight="true" outlineLevel="0" collapsed="false">
      <c r="B8" s="5" t="s">
        <v>107</v>
      </c>
      <c r="C8" s="7" t="s">
        <v>108</v>
      </c>
      <c r="D8" s="12" t="n">
        <v>67.14</v>
      </c>
      <c r="E8" s="24" t="n">
        <v>92.594592</v>
      </c>
      <c r="F8" s="14" t="n">
        <v>4439.30341829635</v>
      </c>
      <c r="G8" s="14" t="n">
        <v>169.4</v>
      </c>
      <c r="H8" s="14" t="n">
        <v>99.4</v>
      </c>
      <c r="I8" s="14" t="n">
        <v>4369.30341829635</v>
      </c>
      <c r="J8" s="14" t="n">
        <v>1063.4</v>
      </c>
      <c r="K8" s="14" t="n">
        <v>808.499968</v>
      </c>
      <c r="L8" s="12" t="n">
        <v>9</v>
      </c>
      <c r="M8" s="12" t="n">
        <v>51.4</v>
      </c>
      <c r="N8" s="12" t="n">
        <v>85</v>
      </c>
      <c r="O8" s="12" t="n">
        <v>85</v>
      </c>
      <c r="P8" s="12" t="n">
        <v>95.3</v>
      </c>
      <c r="Q8" s="12" t="n">
        <v>105</v>
      </c>
    </row>
    <row r="9" customFormat="false" ht="15" hidden="false" customHeight="true" outlineLevel="0" collapsed="false">
      <c r="B9" s="5" t="s">
        <v>109</v>
      </c>
      <c r="C9" s="7" t="s">
        <v>110</v>
      </c>
      <c r="D9" s="12" t="n">
        <v>34.67</v>
      </c>
      <c r="E9" s="24" t="n">
        <v>222.447523</v>
      </c>
      <c r="F9" s="14" t="n">
        <v>5507.18018160282</v>
      </c>
      <c r="G9" s="14" t="n">
        <v>654.8</v>
      </c>
      <c r="H9" s="14" t="n">
        <v>50.1</v>
      </c>
      <c r="I9" s="14" t="n">
        <v>4902.48018160282</v>
      </c>
      <c r="J9" s="14" t="n">
        <v>1436.499968</v>
      </c>
      <c r="K9" s="14" t="n">
        <v>1280.8</v>
      </c>
      <c r="L9" s="12" t="n">
        <v>5.21</v>
      </c>
      <c r="M9" s="12" t="n">
        <v>29.52</v>
      </c>
      <c r="N9" s="12" t="n">
        <v>59.2</v>
      </c>
      <c r="O9" s="12" t="n">
        <v>44.856213</v>
      </c>
      <c r="P9" s="12" t="n">
        <v>56.97794</v>
      </c>
      <c r="Q9" s="12" t="n">
        <v>72.56313</v>
      </c>
    </row>
    <row r="10" customFormat="false" ht="15" hidden="false" customHeight="true" outlineLevel="0" collapsed="false">
      <c r="B10" s="5" t="s">
        <v>111</v>
      </c>
      <c r="C10" s="7" t="s">
        <v>112</v>
      </c>
      <c r="D10" s="12" t="n">
        <v>39.75</v>
      </c>
      <c r="E10" s="24" t="n">
        <v>207.491071</v>
      </c>
      <c r="F10" s="14" t="n">
        <v>5889.58122087221</v>
      </c>
      <c r="G10" s="14" t="n">
        <v>1833.964032</v>
      </c>
      <c r="H10" s="14" t="n">
        <v>2.3</v>
      </c>
      <c r="I10" s="14" t="n">
        <v>4057.91718887221</v>
      </c>
      <c r="J10" s="14" t="n">
        <v>863.728</v>
      </c>
      <c r="K10" s="14" t="n">
        <v>596.752</v>
      </c>
      <c r="L10" s="12" t="n">
        <v>4.12</v>
      </c>
      <c r="M10" s="12" t="n">
        <v>25.83</v>
      </c>
      <c r="N10" s="12" t="n">
        <v>54.5</v>
      </c>
      <c r="O10" s="12" t="n">
        <v>51.834408</v>
      </c>
      <c r="P10" s="12" t="n">
        <v>58.111282</v>
      </c>
      <c r="Q10" s="12" t="n">
        <v>67.59311</v>
      </c>
    </row>
    <row r="11" customFormat="false" ht="15" hidden="false" customHeight="true" outlineLevel="0" collapsed="false">
      <c r="B11" s="5" t="s">
        <v>113</v>
      </c>
      <c r="C11" s="7" t="s">
        <v>114</v>
      </c>
      <c r="D11" s="12" t="n">
        <v>30.76</v>
      </c>
      <c r="E11" s="24" t="n">
        <v>444.14476</v>
      </c>
      <c r="F11" s="14" t="n">
        <v>9755.7068971681</v>
      </c>
      <c r="G11" s="14" t="n">
        <v>890.899968</v>
      </c>
      <c r="H11" s="14" t="n">
        <v>1044.499968</v>
      </c>
      <c r="I11" s="14" t="n">
        <v>9909.3068971681</v>
      </c>
      <c r="J11" s="14" t="n">
        <v>1146.599936</v>
      </c>
      <c r="K11" s="14" t="n">
        <v>830.899968</v>
      </c>
      <c r="L11" s="12" t="n">
        <v>2.36</v>
      </c>
      <c r="M11" s="12" t="n">
        <v>20.26</v>
      </c>
      <c r="N11" s="12" t="n">
        <v>44.48</v>
      </c>
      <c r="O11" s="12" t="n">
        <v>39.33584</v>
      </c>
      <c r="P11" s="12" t="n">
        <v>45.203106</v>
      </c>
      <c r="Q11" s="12" t="n">
        <v>51.834408</v>
      </c>
    </row>
    <row r="12" customFormat="false" ht="15" hidden="false" customHeight="true" outlineLevel="0" collapsed="false">
      <c r="B12" s="5" t="s">
        <v>115</v>
      </c>
      <c r="C12" s="7" t="s">
        <v>116</v>
      </c>
      <c r="D12" s="12" t="n">
        <v>29.5</v>
      </c>
      <c r="E12" s="24" t="n">
        <v>851.359558</v>
      </c>
      <c r="F12" s="14" t="n">
        <v>17934.2368933608</v>
      </c>
      <c r="G12" s="14" t="n">
        <v>265.8</v>
      </c>
      <c r="H12" s="14" t="n">
        <v>388.6</v>
      </c>
      <c r="I12" s="14" t="n">
        <v>18057.0368933608</v>
      </c>
      <c r="J12" s="14" t="n">
        <v>2177.999872</v>
      </c>
      <c r="K12" s="14" t="n">
        <v>1781.900032</v>
      </c>
      <c r="L12" s="12" t="n">
        <v>2.16</v>
      </c>
      <c r="M12" s="12" t="n">
        <v>21.2</v>
      </c>
      <c r="N12" s="12" t="n">
        <v>45.74</v>
      </c>
      <c r="O12" s="12" t="n">
        <v>32.529892</v>
      </c>
      <c r="P12" s="12" t="n">
        <v>42.956738</v>
      </c>
      <c r="Q12" s="12" t="n">
        <v>53.215202</v>
      </c>
    </row>
    <row r="13" customFormat="false" ht="15" hidden="false" customHeight="true" outlineLevel="0" collapsed="false">
      <c r="B13" s="5" t="s">
        <v>117</v>
      </c>
      <c r="C13" s="7" t="s">
        <v>118</v>
      </c>
      <c r="D13" s="12" t="n">
        <v>44.32</v>
      </c>
      <c r="E13" s="24" t="n">
        <v>260.810332</v>
      </c>
      <c r="F13" s="14" t="n">
        <v>8254.15107876046</v>
      </c>
      <c r="G13" s="14" t="n">
        <v>554.561984</v>
      </c>
      <c r="H13" s="14" t="n">
        <v>1763.134976</v>
      </c>
      <c r="I13" s="14" t="n">
        <v>9462.72407076046</v>
      </c>
      <c r="J13" s="14" t="n">
        <v>1151.015936</v>
      </c>
      <c r="K13" s="14" t="n">
        <v>744.203008</v>
      </c>
      <c r="L13" s="12" t="n">
        <v>3.97</v>
      </c>
      <c r="M13" s="12" t="n">
        <v>34.25</v>
      </c>
      <c r="N13" s="12" t="n">
        <v>69.46</v>
      </c>
      <c r="O13" s="12" t="n">
        <v>44.856213</v>
      </c>
      <c r="P13" s="12" t="n">
        <v>65.56697</v>
      </c>
      <c r="Q13" s="12" t="n">
        <v>77.53315</v>
      </c>
    </row>
    <row r="14" customFormat="false" ht="15" hidden="false" customHeight="true" outlineLevel="0" collapsed="false">
      <c r="B14" s="5" t="s">
        <v>119</v>
      </c>
      <c r="C14" s="7" t="s">
        <v>120</v>
      </c>
      <c r="D14" s="12" t="n">
        <v>56.02</v>
      </c>
      <c r="E14" s="24" t="n">
        <v>219.36865</v>
      </c>
      <c r="F14" s="14" t="n">
        <v>8775.37202406737</v>
      </c>
      <c r="G14" s="14" t="n">
        <v>761.209024</v>
      </c>
      <c r="H14" s="14" t="n">
        <v>8.413</v>
      </c>
      <c r="I14" s="14" t="n">
        <v>8022.57600006737</v>
      </c>
      <c r="J14" s="14" t="n">
        <v>859.678976</v>
      </c>
      <c r="K14" s="14" t="n">
        <v>768.275008</v>
      </c>
      <c r="L14" s="12" t="n">
        <v>4.27</v>
      </c>
      <c r="M14" s="12" t="n">
        <v>29.12</v>
      </c>
      <c r="N14" s="12" t="n">
        <v>72.54</v>
      </c>
      <c r="O14" s="12" t="n">
        <v>59.8699</v>
      </c>
      <c r="P14" s="12" t="n">
        <v>69.76349</v>
      </c>
      <c r="Q14" s="12" t="n">
        <v>81.50888</v>
      </c>
    </row>
    <row r="15" customFormat="false" ht="15" hidden="false" customHeight="true" outlineLevel="0" collapsed="false">
      <c r="B15" s="5" t="s">
        <v>121</v>
      </c>
      <c r="C15" s="7" t="s">
        <v>122</v>
      </c>
      <c r="D15" s="12" t="n">
        <v>22.72</v>
      </c>
      <c r="E15" s="24" t="n">
        <v>571</v>
      </c>
      <c r="F15" s="14" t="n">
        <v>9263.8668705368</v>
      </c>
      <c r="G15" s="14" t="n">
        <v>502.4</v>
      </c>
      <c r="H15" s="14" t="n">
        <v>539.8</v>
      </c>
      <c r="I15" s="14" t="n">
        <v>9301.2668705368</v>
      </c>
      <c r="J15" s="14" t="n">
        <v>2051.000064</v>
      </c>
      <c r="K15" s="14" t="n">
        <v>1997.500032</v>
      </c>
      <c r="L15" s="12" t="n">
        <v>2.74</v>
      </c>
      <c r="M15" s="12" t="n">
        <v>15.3</v>
      </c>
      <c r="N15" s="12" t="n">
        <v>34.09</v>
      </c>
      <c r="O15" s="12" t="n">
        <v>31.185507</v>
      </c>
      <c r="P15" s="12" t="n">
        <v>33.98911</v>
      </c>
      <c r="Q15" s="12" t="n">
        <v>35.92026</v>
      </c>
    </row>
    <row r="16" customFormat="false" ht="15" hidden="false" customHeight="true" outlineLevel="0" collapsed="false">
      <c r="B16" s="5" t="s">
        <v>123</v>
      </c>
      <c r="C16" s="7" t="s">
        <v>124</v>
      </c>
      <c r="D16" s="12" t="n">
        <v>14.13</v>
      </c>
      <c r="E16" s="24" t="n">
        <v>1167.459822</v>
      </c>
      <c r="F16" s="14" t="n">
        <v>11779.6388344302</v>
      </c>
      <c r="G16" s="14" t="n">
        <v>481.577984</v>
      </c>
      <c r="H16" s="14" t="n">
        <v>839.054976</v>
      </c>
      <c r="I16" s="14" t="n">
        <v>12137.1158264302</v>
      </c>
      <c r="J16" s="14" t="n">
        <v>1689.364992</v>
      </c>
      <c r="K16" s="14" t="n">
        <v>1071.262016</v>
      </c>
      <c r="L16" s="12" t="n">
        <v>0.66</v>
      </c>
      <c r="M16" s="12" t="n">
        <v>11.91</v>
      </c>
      <c r="N16" s="12" t="n">
        <v>25.87</v>
      </c>
      <c r="O16" s="12" t="n">
        <v>19.305916</v>
      </c>
      <c r="P16" s="12" t="n">
        <v>24.473698</v>
      </c>
      <c r="Q16" s="12" t="n">
        <v>30.691168</v>
      </c>
    </row>
    <row r="18" customFormat="false" ht="15" hidden="false" customHeight="true" outlineLevel="0" collapsed="false">
      <c r="B18" s="13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3"/>
    <col collapsed="false" customWidth="true" hidden="false" outlineLevel="0" max="29" min="6" style="1" width="9"/>
  </cols>
  <sheetData>
    <row r="1" customFormat="false" ht="17.25" hidden="false" customHeight="true" outlineLevel="0" collapsed="false">
      <c r="B1" s="2" t="s">
        <v>126</v>
      </c>
    </row>
    <row r="2" customFormat="false" ht="15" hidden="false" customHeight="true" outlineLevel="0" collapsed="false">
      <c r="B2" s="3" t="s">
        <v>127</v>
      </c>
    </row>
    <row r="4" customFormat="false" ht="15" hidden="false" customHeight="true" outlineLevel="0" collapsed="false">
      <c r="B4" s="4" t="s">
        <v>128</v>
      </c>
      <c r="C4" s="4" t="s">
        <v>129</v>
      </c>
      <c r="D4" s="4" t="s">
        <v>130</v>
      </c>
      <c r="F4" s="5" t="s">
        <v>131</v>
      </c>
    </row>
    <row r="5" customFormat="false" ht="15" hidden="false" customHeight="true" outlineLevel="0" collapsed="false">
      <c r="B5" s="6" t="s">
        <v>132</v>
      </c>
      <c r="C5" s="23" t="n">
        <v>1</v>
      </c>
      <c r="D5" s="13" t="s">
        <v>133</v>
      </c>
      <c r="F5" s="13" t="s">
        <v>134</v>
      </c>
    </row>
    <row r="6" customFormat="false" ht="15" hidden="false" customHeight="true" outlineLevel="0" collapsed="false">
      <c r="B6" s="6" t="s">
        <v>135</v>
      </c>
      <c r="C6" s="15" t="n">
        <v>470.332</v>
      </c>
      <c r="D6" s="13" t="s">
        <v>136</v>
      </c>
      <c r="F6" s="13" t="s">
        <v>137</v>
      </c>
    </row>
    <row r="7" customFormat="false" ht="15" hidden="false" customHeight="true" outlineLevel="0" collapsed="false">
      <c r="B7" s="6" t="s">
        <v>138</v>
      </c>
      <c r="C7" s="15" t="n">
        <v>21.5</v>
      </c>
      <c r="D7" s="13" t="s">
        <v>136</v>
      </c>
      <c r="F7" s="13" t="s">
        <v>139</v>
      </c>
    </row>
    <row r="8" customFormat="false" ht="15" hidden="false" customHeight="true" outlineLevel="0" collapsed="false">
      <c r="B8" s="6" t="s">
        <v>140</v>
      </c>
      <c r="C8" s="25" t="n">
        <v>0.0016</v>
      </c>
      <c r="D8" s="13" t="s">
        <v>141</v>
      </c>
      <c r="F8" s="13" t="s">
        <v>142</v>
      </c>
    </row>
    <row r="9" customFormat="false" ht="15" hidden="false" customHeight="true" outlineLevel="0" collapsed="false">
      <c r="B9" s="6" t="s">
        <v>143</v>
      </c>
      <c r="C9" s="12" t="n">
        <v>0.28</v>
      </c>
      <c r="D9" s="13" t="s">
        <v>144</v>
      </c>
      <c r="F9" s="13" t="s">
        <v>145</v>
      </c>
    </row>
    <row r="10" customFormat="false" ht="15" hidden="false" customHeight="true" outlineLevel="0" collapsed="false">
      <c r="B10" s="6" t="s">
        <v>146</v>
      </c>
      <c r="C10" s="23" t="n">
        <v>0.8</v>
      </c>
      <c r="D10" s="13" t="s">
        <v>133</v>
      </c>
      <c r="F10" s="13" t="s">
        <v>147</v>
      </c>
    </row>
    <row r="11" customFormat="false" ht="15" hidden="false" customHeight="true" outlineLevel="0" collapsed="false">
      <c r="B11" s="6" t="s">
        <v>148</v>
      </c>
      <c r="C11" s="23" t="n">
        <v>0.64</v>
      </c>
      <c r="D11" s="13" t="s">
        <v>133</v>
      </c>
      <c r="F11" s="13" t="s">
        <v>149</v>
      </c>
    </row>
    <row r="12" customFormat="false" ht="15" hidden="false" customHeight="true" outlineLevel="0" collapsed="false">
      <c r="B12" s="6" t="s">
        <v>150</v>
      </c>
      <c r="C12" s="23" t="n">
        <v>0.965</v>
      </c>
      <c r="D12" s="13" t="s">
        <v>133</v>
      </c>
    </row>
    <row r="13" customFormat="false" ht="15" hidden="false" customHeight="true" outlineLevel="0" collapsed="false">
      <c r="B13" s="6" t="s">
        <v>151</v>
      </c>
      <c r="C13" s="23" t="n">
        <v>0.97</v>
      </c>
      <c r="D13" s="13" t="s">
        <v>133</v>
      </c>
    </row>
    <row r="14" customFormat="false" ht="15" hidden="false" customHeight="true" outlineLevel="0" collapsed="false">
      <c r="B14" s="6" t="s">
        <v>152</v>
      </c>
      <c r="C14" s="12" t="n">
        <v>21.5</v>
      </c>
      <c r="D14" s="13" t="s">
        <v>153</v>
      </c>
    </row>
    <row r="15" customFormat="false" ht="15" hidden="false" customHeight="true" outlineLevel="0" collapsed="false">
      <c r="B15" s="6" t="s">
        <v>154</v>
      </c>
      <c r="C15" s="12" t="n">
        <v>23.65</v>
      </c>
      <c r="D15" s="13" t="s">
        <v>153</v>
      </c>
    </row>
    <row r="16" customFormat="false" ht="15" hidden="false" customHeight="true" outlineLevel="0" collapsed="false">
      <c r="B16" s="6" t="s">
        <v>155</v>
      </c>
      <c r="C16" s="22" t="n">
        <v>2029</v>
      </c>
      <c r="D16" s="13" t="s">
        <v>156</v>
      </c>
    </row>
    <row r="17" customFormat="false" ht="15" hidden="false" customHeight="true" outlineLevel="0" collapsed="false">
      <c r="B17" s="6" t="s">
        <v>157</v>
      </c>
      <c r="C17" s="22" t="n">
        <v>2027</v>
      </c>
      <c r="D17" s="13" t="s">
        <v>156</v>
      </c>
    </row>
    <row r="18" customFormat="false" ht="15" hidden="false" customHeight="true" outlineLevel="0" collapsed="false">
      <c r="B18" s="6" t="s">
        <v>158</v>
      </c>
      <c r="C18" s="12" t="n">
        <v>13.5</v>
      </c>
      <c r="D18" s="13" t="s">
        <v>159</v>
      </c>
    </row>
    <row r="19" customFormat="false" ht="15" hidden="false" customHeight="true" outlineLevel="0" collapsed="false">
      <c r="B19" s="6" t="s">
        <v>160</v>
      </c>
      <c r="C19" s="12" t="n">
        <v>0.45</v>
      </c>
      <c r="D19" s="13" t="s">
        <v>161</v>
      </c>
    </row>
    <row r="20" customFormat="false" ht="15" hidden="false" customHeight="true" outlineLevel="0" collapsed="false">
      <c r="B20" s="6" t="s">
        <v>162</v>
      </c>
      <c r="C20" s="24" t="n">
        <v>90</v>
      </c>
      <c r="D20" s="13" t="s">
        <v>163</v>
      </c>
    </row>
    <row r="21" customFormat="false" ht="15" hidden="false" customHeight="true" outlineLevel="0" collapsed="false">
      <c r="B21" s="6" t="s">
        <v>164</v>
      </c>
      <c r="C21" s="24" t="n">
        <v>186</v>
      </c>
      <c r="D21" s="13" t="s">
        <v>165</v>
      </c>
    </row>
    <row r="22" customFormat="false" ht="15" hidden="false" customHeight="true" outlineLevel="0" collapsed="false">
      <c r="B22" s="6" t="s">
        <v>166</v>
      </c>
      <c r="C22" s="22" t="n">
        <v>2027</v>
      </c>
      <c r="D22" s="13" t="s">
        <v>156</v>
      </c>
    </row>
    <row r="23" customFormat="false" ht="15" hidden="false" customHeight="true" outlineLevel="0" collapsed="false">
      <c r="B23" s="6" t="s">
        <v>167</v>
      </c>
      <c r="C23" s="22" t="n">
        <v>3</v>
      </c>
      <c r="D23" s="13" t="s">
        <v>168</v>
      </c>
    </row>
    <row r="24" customFormat="false" ht="15" hidden="false" customHeight="true" outlineLevel="0" collapsed="false">
      <c r="B24" s="6" t="s">
        <v>169</v>
      </c>
      <c r="C24" s="24" t="n">
        <v>120</v>
      </c>
      <c r="D24" s="13" t="s">
        <v>165</v>
      </c>
    </row>
    <row r="25" customFormat="false" ht="15" hidden="false" customHeight="true" outlineLevel="0" collapsed="false">
      <c r="B25" s="6" t="s">
        <v>170</v>
      </c>
      <c r="C25" s="25" t="n">
        <v>0</v>
      </c>
      <c r="D25" s="13" t="s">
        <v>171</v>
      </c>
    </row>
    <row r="26" customFormat="false" ht="15" hidden="false" customHeight="true" outlineLevel="0" collapsed="false">
      <c r="B26" s="6" t="s">
        <v>172</v>
      </c>
      <c r="C26" s="23" t="n">
        <v>0.32</v>
      </c>
      <c r="D26" s="13" t="s">
        <v>133</v>
      </c>
    </row>
    <row r="27" customFormat="false" ht="15" hidden="false" customHeight="true" outlineLevel="0" collapsed="false">
      <c r="B27" s="6" t="s">
        <v>173</v>
      </c>
      <c r="C27" s="25" t="n">
        <v>0.35</v>
      </c>
      <c r="D27" s="13" t="s">
        <v>174</v>
      </c>
    </row>
    <row r="28" customFormat="false" ht="15" hidden="false" customHeight="true" outlineLevel="0" collapsed="false">
      <c r="B28" s="6" t="s">
        <v>175</v>
      </c>
      <c r="C28" s="14" t="n">
        <v>435</v>
      </c>
      <c r="D28" s="13" t="s">
        <v>50</v>
      </c>
    </row>
    <row r="29" customFormat="false" ht="15" hidden="false" customHeight="true" outlineLevel="0" collapsed="false">
      <c r="B29" s="6" t="s">
        <v>176</v>
      </c>
      <c r="C29" s="25" t="n">
        <v>0.1875</v>
      </c>
      <c r="D29" s="13" t="s">
        <v>177</v>
      </c>
    </row>
    <row r="30" customFormat="false" ht="15" hidden="false" customHeight="true" outlineLevel="0" collapsed="false">
      <c r="B30" s="6" t="s">
        <v>178</v>
      </c>
      <c r="C30" s="23" t="n">
        <v>0.15</v>
      </c>
      <c r="D30" s="13" t="s">
        <v>179</v>
      </c>
    </row>
    <row r="31" customFormat="false" ht="15" hidden="false" customHeight="true" outlineLevel="0" collapsed="false">
      <c r="B31" s="5" t="s">
        <v>66</v>
      </c>
      <c r="C31" s="26" t="n">
        <f aca="false">Inputs!$C$22</f>
        <v>0.065</v>
      </c>
      <c r="D31" s="13" t="s">
        <v>180</v>
      </c>
    </row>
    <row r="34" customFormat="false" ht="15" hidden="false" customHeight="true" outlineLevel="0" collapsed="false">
      <c r="B34" s="4" t="s">
        <v>181</v>
      </c>
      <c r="C34" s="4" t="s">
        <v>130</v>
      </c>
      <c r="D34" s="4" t="s">
        <v>182</v>
      </c>
      <c r="F34" s="4" t="n">
        <v>2027</v>
      </c>
      <c r="G34" s="4" t="n">
        <v>2028</v>
      </c>
      <c r="H34" s="4" t="n">
        <v>2029</v>
      </c>
      <c r="I34" s="4" t="n">
        <v>2030</v>
      </c>
      <c r="J34" s="4" t="n">
        <v>2031</v>
      </c>
      <c r="K34" s="4" t="n">
        <v>2032</v>
      </c>
      <c r="L34" s="4" t="n">
        <v>2033</v>
      </c>
      <c r="M34" s="4" t="n">
        <v>2034</v>
      </c>
      <c r="N34" s="4" t="n">
        <v>2035</v>
      </c>
      <c r="O34" s="4" t="n">
        <v>2036</v>
      </c>
      <c r="P34" s="4" t="n">
        <v>2037</v>
      </c>
      <c r="Q34" s="4" t="n">
        <v>2038</v>
      </c>
      <c r="R34" s="4" t="n">
        <v>2039</v>
      </c>
      <c r="S34" s="4" t="n">
        <v>2040</v>
      </c>
      <c r="T34" s="4" t="n">
        <v>2041</v>
      </c>
      <c r="U34" s="4" t="n">
        <v>2042</v>
      </c>
      <c r="V34" s="4" t="n">
        <v>2043</v>
      </c>
      <c r="W34" s="4" t="n">
        <v>2044</v>
      </c>
      <c r="X34" s="4" t="n">
        <v>2045</v>
      </c>
      <c r="Y34" s="4" t="n">
        <v>2046</v>
      </c>
      <c r="Z34" s="4" t="n">
        <v>2047</v>
      </c>
      <c r="AA34" s="4" t="n">
        <v>2048</v>
      </c>
      <c r="AB34" s="4" t="n">
        <v>2049</v>
      </c>
      <c r="AC34" s="4" t="n">
        <v>2050</v>
      </c>
    </row>
    <row r="35" customFormat="false" ht="15" hidden="false" customHeight="true" outlineLevel="0" collapsed="false">
      <c r="B35" s="6" t="s">
        <v>183</v>
      </c>
      <c r="C35" s="13"/>
      <c r="F35" s="27" t="n">
        <f aca="false">F$34-2027+1</f>
        <v>1</v>
      </c>
      <c r="G35" s="27" t="n">
        <f aca="false">G$34-2027+1</f>
        <v>2</v>
      </c>
      <c r="H35" s="27" t="n">
        <f aca="false">H$34-2027+1</f>
        <v>3</v>
      </c>
      <c r="I35" s="27" t="n">
        <f aca="false">I$34-2027+1</f>
        <v>4</v>
      </c>
      <c r="J35" s="27" t="n">
        <f aca="false">J$34-2027+1</f>
        <v>5</v>
      </c>
      <c r="K35" s="27" t="n">
        <f aca="false">K$34-2027+1</f>
        <v>6</v>
      </c>
      <c r="L35" s="27" t="n">
        <f aca="false">L$34-2027+1</f>
        <v>7</v>
      </c>
      <c r="M35" s="27" t="n">
        <f aca="false">M$34-2027+1</f>
        <v>8</v>
      </c>
      <c r="N35" s="27" t="n">
        <f aca="false">N$34-2027+1</f>
        <v>9</v>
      </c>
      <c r="O35" s="27" t="n">
        <f aca="false">O$34-2027+1</f>
        <v>10</v>
      </c>
      <c r="P35" s="27" t="n">
        <f aca="false">P$34-2027+1</f>
        <v>11</v>
      </c>
      <c r="Q35" s="27" t="n">
        <f aca="false">Q$34-2027+1</f>
        <v>12</v>
      </c>
      <c r="R35" s="27" t="n">
        <f aca="false">R$34-2027+1</f>
        <v>13</v>
      </c>
      <c r="S35" s="27" t="n">
        <f aca="false">S$34-2027+1</f>
        <v>14</v>
      </c>
      <c r="T35" s="27" t="n">
        <f aca="false">T$34-2027+1</f>
        <v>15</v>
      </c>
      <c r="U35" s="27" t="n">
        <f aca="false">U$34-2027+1</f>
        <v>16</v>
      </c>
      <c r="V35" s="27" t="n">
        <f aca="false">V$34-2027+1</f>
        <v>17</v>
      </c>
      <c r="W35" s="27" t="n">
        <f aca="false">W$34-2027+1</f>
        <v>18</v>
      </c>
      <c r="X35" s="27" t="n">
        <f aca="false">X$34-2027+1</f>
        <v>19</v>
      </c>
      <c r="Y35" s="27" t="n">
        <f aca="false">Y$34-2027+1</f>
        <v>20</v>
      </c>
      <c r="Z35" s="27" t="n">
        <f aca="false">Z$34-2027+1</f>
        <v>21</v>
      </c>
      <c r="AA35" s="27" t="n">
        <f aca="false">AA$34-2027+1</f>
        <v>22</v>
      </c>
      <c r="AB35" s="27" t="n">
        <f aca="false">AB$34-2027+1</f>
        <v>23</v>
      </c>
      <c r="AC35" s="27" t="n">
        <f aca="false">AC$34-2027+1</f>
        <v>24</v>
      </c>
    </row>
    <row r="36" customFormat="false" ht="15" hidden="false" customHeight="true" outlineLevel="0" collapsed="false">
      <c r="B36" s="6" t="s">
        <v>184</v>
      </c>
      <c r="C36" s="13" t="s">
        <v>47</v>
      </c>
      <c r="F36" s="28" t="n">
        <f aca="false">Inputs!F$18</f>
        <v>6</v>
      </c>
      <c r="G36" s="28" t="n">
        <f aca="false">Inputs!G$18</f>
        <v>5.5</v>
      </c>
      <c r="H36" s="28" t="n">
        <f aca="false">Inputs!H$18</f>
        <v>5</v>
      </c>
      <c r="I36" s="28" t="n">
        <f aca="false">Inputs!I$18</f>
        <v>5</v>
      </c>
      <c r="J36" s="28" t="n">
        <f aca="false">Inputs!J$18</f>
        <v>5</v>
      </c>
      <c r="K36" s="28" t="n">
        <f aca="false">Inputs!K$18</f>
        <v>5</v>
      </c>
      <c r="L36" s="28" t="n">
        <f aca="false">Inputs!L$18</f>
        <v>5</v>
      </c>
      <c r="M36" s="28" t="n">
        <f aca="false">Inputs!M$18</f>
        <v>5</v>
      </c>
      <c r="N36" s="28" t="n">
        <f aca="false">Inputs!N$18</f>
        <v>5</v>
      </c>
      <c r="O36" s="28" t="n">
        <f aca="false">Inputs!O$18</f>
        <v>5</v>
      </c>
      <c r="P36" s="28" t="n">
        <f aca="false">Inputs!P$18</f>
        <v>5</v>
      </c>
      <c r="Q36" s="28" t="n">
        <f aca="false">Inputs!Q$18</f>
        <v>5</v>
      </c>
      <c r="R36" s="28" t="n">
        <f aca="false">Inputs!R$18</f>
        <v>5</v>
      </c>
      <c r="S36" s="28" t="n">
        <f aca="false">Inputs!S$18</f>
        <v>5</v>
      </c>
      <c r="T36" s="28" t="n">
        <f aca="false">Inputs!T$18</f>
        <v>5</v>
      </c>
      <c r="U36" s="28" t="n">
        <f aca="false">Inputs!U$18</f>
        <v>5</v>
      </c>
      <c r="V36" s="28" t="n">
        <f aca="false">Inputs!V$18</f>
        <v>5</v>
      </c>
      <c r="W36" s="28" t="n">
        <f aca="false">Inputs!W$18</f>
        <v>5</v>
      </c>
      <c r="X36" s="28" t="n">
        <f aca="false">Inputs!X$18</f>
        <v>5</v>
      </c>
      <c r="Y36" s="28" t="n">
        <f aca="false">Inputs!Y$18</f>
        <v>5</v>
      </c>
      <c r="Z36" s="28" t="n">
        <f aca="false">Inputs!Z$18</f>
        <v>5</v>
      </c>
      <c r="AA36" s="28" t="n">
        <f aca="false">Inputs!AA$18</f>
        <v>5</v>
      </c>
      <c r="AB36" s="28" t="n">
        <f aca="false">Inputs!AB$18</f>
        <v>5</v>
      </c>
      <c r="AC36" s="28" t="n">
        <f aca="false">Inputs!AC$18</f>
        <v>5</v>
      </c>
    </row>
    <row r="37" customFormat="false" ht="15" hidden="false" customHeight="true" outlineLevel="0" collapsed="false">
      <c r="B37" s="6" t="s">
        <v>185</v>
      </c>
      <c r="C37" s="13" t="s">
        <v>50</v>
      </c>
      <c r="F37" s="29" t="n">
        <f aca="false">Inputs!F$19</f>
        <v>3900</v>
      </c>
      <c r="G37" s="29" t="n">
        <f aca="false">Inputs!G$19</f>
        <v>3600</v>
      </c>
      <c r="H37" s="29" t="n">
        <f aca="false">Inputs!H$19</f>
        <v>3300</v>
      </c>
      <c r="I37" s="29" t="n">
        <f aca="false">Inputs!I$19</f>
        <v>3300</v>
      </c>
      <c r="J37" s="29" t="n">
        <f aca="false">Inputs!J$19</f>
        <v>3300</v>
      </c>
      <c r="K37" s="29" t="n">
        <f aca="false">Inputs!K$19</f>
        <v>3300</v>
      </c>
      <c r="L37" s="29" t="n">
        <f aca="false">Inputs!L$19</f>
        <v>3300</v>
      </c>
      <c r="M37" s="29" t="n">
        <f aca="false">Inputs!M$19</f>
        <v>3300</v>
      </c>
      <c r="N37" s="29" t="n">
        <f aca="false">Inputs!N$19</f>
        <v>3300</v>
      </c>
      <c r="O37" s="29" t="n">
        <f aca="false">Inputs!O$19</f>
        <v>3300</v>
      </c>
      <c r="P37" s="29" t="n">
        <f aca="false">Inputs!P$19</f>
        <v>3300</v>
      </c>
      <c r="Q37" s="29" t="n">
        <f aca="false">Inputs!Q$19</f>
        <v>3300</v>
      </c>
      <c r="R37" s="29" t="n">
        <f aca="false">Inputs!R$19</f>
        <v>3300</v>
      </c>
      <c r="S37" s="29" t="n">
        <f aca="false">Inputs!S$19</f>
        <v>3300</v>
      </c>
      <c r="T37" s="29" t="n">
        <f aca="false">Inputs!T$19</f>
        <v>3300</v>
      </c>
      <c r="U37" s="29" t="n">
        <f aca="false">Inputs!U$19</f>
        <v>3300</v>
      </c>
      <c r="V37" s="29" t="n">
        <f aca="false">Inputs!V$19</f>
        <v>3300</v>
      </c>
      <c r="W37" s="29" t="n">
        <f aca="false">Inputs!W$19</f>
        <v>3300</v>
      </c>
      <c r="X37" s="29" t="n">
        <f aca="false">Inputs!X$19</f>
        <v>3300</v>
      </c>
      <c r="Y37" s="29" t="n">
        <f aca="false">Inputs!Y$19</f>
        <v>3300</v>
      </c>
      <c r="Z37" s="29" t="n">
        <f aca="false">Inputs!Z$19</f>
        <v>3300</v>
      </c>
      <c r="AA37" s="29" t="n">
        <f aca="false">Inputs!AA$19</f>
        <v>3300</v>
      </c>
      <c r="AB37" s="29" t="n">
        <f aca="false">Inputs!AB$19</f>
        <v>3300</v>
      </c>
      <c r="AC37" s="29" t="n">
        <f aca="false">Inputs!AC$19</f>
        <v>3300</v>
      </c>
    </row>
    <row r="38" customFormat="false" ht="15" hidden="false" customHeight="true" outlineLevel="0" collapsed="false">
      <c r="B38" s="6" t="s">
        <v>186</v>
      </c>
      <c r="C38" s="13" t="s">
        <v>136</v>
      </c>
      <c r="F38" s="19" t="n">
        <f aca="false">IF(F$34&lt;$C$17,0,IF(F$34&gt;=$C$16,$C$15,$C$14))</f>
        <v>21.5</v>
      </c>
      <c r="G38" s="19" t="n">
        <f aca="false">IF(G$34&lt;$C$17,0,IF(G$34&gt;=$C$16,$C$15,$C$14))</f>
        <v>21.5</v>
      </c>
      <c r="H38" s="19" t="n">
        <f aca="false">IF(H$34&lt;$C$17,0,IF(H$34&gt;=$C$16,$C$15,$C$14))</f>
        <v>23.65</v>
      </c>
      <c r="I38" s="19" t="n">
        <f aca="false">IF(I$34&lt;$C$17,0,IF(I$34&gt;=$C$16,$C$15,$C$14))</f>
        <v>23.65</v>
      </c>
      <c r="J38" s="19" t="n">
        <f aca="false">IF(J$34&lt;$C$17,0,IF(J$34&gt;=$C$16,$C$15,$C$14))</f>
        <v>23.65</v>
      </c>
      <c r="K38" s="19" t="n">
        <f aca="false">IF(K$34&lt;$C$17,0,IF(K$34&gt;=$C$16,$C$15,$C$14))</f>
        <v>23.65</v>
      </c>
      <c r="L38" s="19" t="n">
        <f aca="false">IF(L$34&lt;$C$17,0,IF(L$34&gt;=$C$16,$C$15,$C$14))</f>
        <v>23.65</v>
      </c>
      <c r="M38" s="19" t="n">
        <f aca="false">IF(M$34&lt;$C$17,0,IF(M$34&gt;=$C$16,$C$15,$C$14))</f>
        <v>23.65</v>
      </c>
      <c r="N38" s="19" t="n">
        <f aca="false">IF(N$34&lt;$C$17,0,IF(N$34&gt;=$C$16,$C$15,$C$14))</f>
        <v>23.65</v>
      </c>
      <c r="O38" s="19" t="n">
        <f aca="false">IF(O$34&lt;$C$17,0,IF(O$34&gt;=$C$16,$C$15,$C$14))</f>
        <v>23.65</v>
      </c>
      <c r="P38" s="19" t="n">
        <f aca="false">IF(P$34&lt;$C$17,0,IF(P$34&gt;=$C$16,$C$15,$C$14))</f>
        <v>23.65</v>
      </c>
      <c r="Q38" s="19" t="n">
        <f aca="false">IF(Q$34&lt;$C$17,0,IF(Q$34&gt;=$C$16,$C$15,$C$14))</f>
        <v>23.65</v>
      </c>
      <c r="R38" s="19" t="n">
        <f aca="false">IF(R$34&lt;$C$17,0,IF(R$34&gt;=$C$16,$C$15,$C$14))</f>
        <v>23.65</v>
      </c>
      <c r="S38" s="19" t="n">
        <f aca="false">IF(S$34&lt;$C$17,0,IF(S$34&gt;=$C$16,$C$15,$C$14))</f>
        <v>23.65</v>
      </c>
      <c r="T38" s="19" t="n">
        <f aca="false">IF(T$34&lt;$C$17,0,IF(T$34&gt;=$C$16,$C$15,$C$14))</f>
        <v>23.65</v>
      </c>
      <c r="U38" s="19" t="n">
        <f aca="false">IF(U$34&lt;$C$17,0,IF(U$34&gt;=$C$16,$C$15,$C$14))</f>
        <v>23.65</v>
      </c>
      <c r="V38" s="19" t="n">
        <f aca="false">IF(V$34&lt;$C$17,0,IF(V$34&gt;=$C$16,$C$15,$C$14))</f>
        <v>23.65</v>
      </c>
      <c r="W38" s="19" t="n">
        <f aca="false">IF(W$34&lt;$C$17,0,IF(W$34&gt;=$C$16,$C$15,$C$14))</f>
        <v>23.65</v>
      </c>
      <c r="X38" s="19" t="n">
        <f aca="false">IF(X$34&lt;$C$17,0,IF(X$34&gt;=$C$16,$C$15,$C$14))</f>
        <v>23.65</v>
      </c>
      <c r="Y38" s="19" t="n">
        <f aca="false">IF(Y$34&lt;$C$17,0,IF(Y$34&gt;=$C$16,$C$15,$C$14))</f>
        <v>23.65</v>
      </c>
      <c r="Z38" s="19" t="n">
        <f aca="false">IF(Z$34&lt;$C$17,0,IF(Z$34&gt;=$C$16,$C$15,$C$14))</f>
        <v>23.65</v>
      </c>
      <c r="AA38" s="19" t="n">
        <f aca="false">IF(AA$34&lt;$C$17,0,IF(AA$34&gt;=$C$16,$C$15,$C$14))</f>
        <v>23.65</v>
      </c>
      <c r="AB38" s="19" t="n">
        <f aca="false">IF(AB$34&lt;$C$17,0,IF(AB$34&gt;=$C$16,$C$15,$C$14))</f>
        <v>23.65</v>
      </c>
      <c r="AC38" s="19" t="n">
        <f aca="false">IF(AC$34&lt;$C$17,0,IF(AC$34&gt;=$C$16,$C$15,$C$14))</f>
        <v>23.65</v>
      </c>
    </row>
    <row r="39" customFormat="false" ht="15" hidden="false" customHeight="true" outlineLevel="0" collapsed="false">
      <c r="B39" s="6" t="s">
        <v>187</v>
      </c>
      <c r="C39" s="13" t="s">
        <v>136</v>
      </c>
      <c r="F39" s="30" t="n">
        <f aca="false">$C$6-$C$7</f>
        <v>448.832</v>
      </c>
      <c r="G39" s="30" t="n">
        <f aca="false">F41</f>
        <v>427.332</v>
      </c>
      <c r="H39" s="30" t="n">
        <f aca="false">G41</f>
        <v>405.832</v>
      </c>
      <c r="I39" s="30" t="n">
        <f aca="false">H41</f>
        <v>382.182</v>
      </c>
      <c r="J39" s="30" t="n">
        <f aca="false">I41</f>
        <v>358.532</v>
      </c>
      <c r="K39" s="30" t="n">
        <f aca="false">J41</f>
        <v>334.882</v>
      </c>
      <c r="L39" s="30" t="n">
        <f aca="false">K41</f>
        <v>311.232</v>
      </c>
      <c r="M39" s="30" t="n">
        <f aca="false">L41</f>
        <v>287.582</v>
      </c>
      <c r="N39" s="30" t="n">
        <f aca="false">M41</f>
        <v>263.932</v>
      </c>
      <c r="O39" s="30" t="n">
        <f aca="false">N41</f>
        <v>240.282</v>
      </c>
      <c r="P39" s="30" t="n">
        <f aca="false">O41</f>
        <v>216.632</v>
      </c>
      <c r="Q39" s="30" t="n">
        <f aca="false">P41</f>
        <v>192.982</v>
      </c>
      <c r="R39" s="30" t="n">
        <f aca="false">Q41</f>
        <v>169.332</v>
      </c>
      <c r="S39" s="30" t="n">
        <f aca="false">R41</f>
        <v>145.682</v>
      </c>
      <c r="T39" s="30" t="n">
        <f aca="false">S41</f>
        <v>122.032</v>
      </c>
      <c r="U39" s="30" t="n">
        <f aca="false">T41</f>
        <v>98.3820000000001</v>
      </c>
      <c r="V39" s="30" t="n">
        <f aca="false">U41</f>
        <v>74.7320000000001</v>
      </c>
      <c r="W39" s="30" t="n">
        <f aca="false">V41</f>
        <v>51.0820000000001</v>
      </c>
      <c r="X39" s="30" t="n">
        <f aca="false">W41</f>
        <v>27.4320000000001</v>
      </c>
      <c r="Y39" s="30" t="n">
        <f aca="false">X41</f>
        <v>3.78200000000009</v>
      </c>
      <c r="Z39" s="30" t="n">
        <f aca="false">Y41</f>
        <v>0</v>
      </c>
      <c r="AA39" s="30" t="n">
        <f aca="false">Z41</f>
        <v>0</v>
      </c>
      <c r="AB39" s="30" t="n">
        <f aca="false">AA41</f>
        <v>0</v>
      </c>
      <c r="AC39" s="30" t="n">
        <f aca="false">AB41</f>
        <v>0</v>
      </c>
    </row>
    <row r="40" customFormat="false" ht="15" hidden="false" customHeight="true" outlineLevel="0" collapsed="false">
      <c r="B40" s="6" t="s">
        <v>188</v>
      </c>
      <c r="C40" s="13" t="s">
        <v>136</v>
      </c>
      <c r="D40" s="19" t="n">
        <f aca="false">SUM(F40:AC40)</f>
        <v>448.832</v>
      </c>
      <c r="F40" s="19" t="n">
        <f aca="false">MAX(0,MIN(F38,F39))</f>
        <v>21.5</v>
      </c>
      <c r="G40" s="19" t="n">
        <f aca="false">MAX(0,MIN(G38,G39))</f>
        <v>21.5</v>
      </c>
      <c r="H40" s="19" t="n">
        <f aca="false">MAX(0,MIN(H38,H39))</f>
        <v>23.65</v>
      </c>
      <c r="I40" s="19" t="n">
        <f aca="false">MAX(0,MIN(I38,I39))</f>
        <v>23.65</v>
      </c>
      <c r="J40" s="19" t="n">
        <f aca="false">MAX(0,MIN(J38,J39))</f>
        <v>23.65</v>
      </c>
      <c r="K40" s="19" t="n">
        <f aca="false">MAX(0,MIN(K38,K39))</f>
        <v>23.65</v>
      </c>
      <c r="L40" s="19" t="n">
        <f aca="false">MAX(0,MIN(L38,L39))</f>
        <v>23.65</v>
      </c>
      <c r="M40" s="19" t="n">
        <f aca="false">MAX(0,MIN(M38,M39))</f>
        <v>23.65</v>
      </c>
      <c r="N40" s="19" t="n">
        <f aca="false">MAX(0,MIN(N38,N39))</f>
        <v>23.65</v>
      </c>
      <c r="O40" s="19" t="n">
        <f aca="false">MAX(0,MIN(O38,O39))</f>
        <v>23.65</v>
      </c>
      <c r="P40" s="19" t="n">
        <f aca="false">MAX(0,MIN(P38,P39))</f>
        <v>23.65</v>
      </c>
      <c r="Q40" s="19" t="n">
        <f aca="false">MAX(0,MIN(Q38,Q39))</f>
        <v>23.65</v>
      </c>
      <c r="R40" s="19" t="n">
        <f aca="false">MAX(0,MIN(R38,R39))</f>
        <v>23.65</v>
      </c>
      <c r="S40" s="19" t="n">
        <f aca="false">MAX(0,MIN(S38,S39))</f>
        <v>23.65</v>
      </c>
      <c r="T40" s="19" t="n">
        <f aca="false">MAX(0,MIN(T38,T39))</f>
        <v>23.65</v>
      </c>
      <c r="U40" s="19" t="n">
        <f aca="false">MAX(0,MIN(U38,U39))</f>
        <v>23.65</v>
      </c>
      <c r="V40" s="19" t="n">
        <f aca="false">MAX(0,MIN(V38,V39))</f>
        <v>23.65</v>
      </c>
      <c r="W40" s="19" t="n">
        <f aca="false">MAX(0,MIN(W38,W39))</f>
        <v>23.65</v>
      </c>
      <c r="X40" s="19" t="n">
        <f aca="false">MAX(0,MIN(X38,X39))</f>
        <v>23.65</v>
      </c>
      <c r="Y40" s="19" t="n">
        <f aca="false">MAX(0,MIN(Y38,Y39))</f>
        <v>3.78200000000009</v>
      </c>
      <c r="Z40" s="19" t="n">
        <f aca="false">MAX(0,MIN(Z38,Z39))</f>
        <v>0</v>
      </c>
      <c r="AA40" s="19" t="n">
        <f aca="false">MAX(0,MIN(AA38,AA39))</f>
        <v>0</v>
      </c>
      <c r="AB40" s="19" t="n">
        <f aca="false">MAX(0,MIN(AB38,AB39))</f>
        <v>0</v>
      </c>
      <c r="AC40" s="19" t="n">
        <f aca="false">MAX(0,MIN(AC38,AC39))</f>
        <v>0</v>
      </c>
    </row>
    <row r="41" customFormat="false" ht="15" hidden="false" customHeight="true" outlineLevel="0" collapsed="false">
      <c r="B41" s="6" t="s">
        <v>189</v>
      </c>
      <c r="C41" s="13" t="s">
        <v>136</v>
      </c>
      <c r="F41" s="30" t="n">
        <f aca="false">F39-F40</f>
        <v>427.332</v>
      </c>
      <c r="G41" s="30" t="n">
        <f aca="false">G39-G40</f>
        <v>405.832</v>
      </c>
      <c r="H41" s="30" t="n">
        <f aca="false">H39-H40</f>
        <v>382.182</v>
      </c>
      <c r="I41" s="30" t="n">
        <f aca="false">I39-I40</f>
        <v>358.532</v>
      </c>
      <c r="J41" s="30" t="n">
        <f aca="false">J39-J40</f>
        <v>334.882</v>
      </c>
      <c r="K41" s="30" t="n">
        <f aca="false">K39-K40</f>
        <v>311.232</v>
      </c>
      <c r="L41" s="30" t="n">
        <f aca="false">L39-L40</f>
        <v>287.582</v>
      </c>
      <c r="M41" s="30" t="n">
        <f aca="false">M39-M40</f>
        <v>263.932</v>
      </c>
      <c r="N41" s="30" t="n">
        <f aca="false">N39-N40</f>
        <v>240.282</v>
      </c>
      <c r="O41" s="30" t="n">
        <f aca="false">O39-O40</f>
        <v>216.632</v>
      </c>
      <c r="P41" s="30" t="n">
        <f aca="false">P39-P40</f>
        <v>192.982</v>
      </c>
      <c r="Q41" s="30" t="n">
        <f aca="false">Q39-Q40</f>
        <v>169.332</v>
      </c>
      <c r="R41" s="30" t="n">
        <f aca="false">R39-R40</f>
        <v>145.682</v>
      </c>
      <c r="S41" s="30" t="n">
        <f aca="false">S39-S40</f>
        <v>122.032</v>
      </c>
      <c r="T41" s="30" t="n">
        <f aca="false">T39-T40</f>
        <v>98.3820000000001</v>
      </c>
      <c r="U41" s="30" t="n">
        <f aca="false">U39-U40</f>
        <v>74.7320000000001</v>
      </c>
      <c r="V41" s="30" t="n">
        <f aca="false">V39-V40</f>
        <v>51.0820000000001</v>
      </c>
      <c r="W41" s="30" t="n">
        <f aca="false">W39-W40</f>
        <v>27.4320000000001</v>
      </c>
      <c r="X41" s="30" t="n">
        <f aca="false">X39-X40</f>
        <v>3.78200000000009</v>
      </c>
      <c r="Y41" s="30" t="n">
        <f aca="false">Y39-Y40</f>
        <v>0</v>
      </c>
      <c r="Z41" s="30" t="n">
        <f aca="false">Z39-Z40</f>
        <v>0</v>
      </c>
      <c r="AA41" s="30" t="n">
        <f aca="false">AA39-AA40</f>
        <v>0</v>
      </c>
      <c r="AB41" s="30" t="n">
        <f aca="false">AB39-AB40</f>
        <v>0</v>
      </c>
      <c r="AC41" s="30" t="n">
        <f aca="false">AC39-AC40</f>
        <v>0</v>
      </c>
    </row>
    <row r="42" customFormat="false" ht="15" hidden="false" customHeight="true" outlineLevel="0" collapsed="false">
      <c r="B42" s="6" t="s">
        <v>190</v>
      </c>
      <c r="C42" s="13" t="s">
        <v>191</v>
      </c>
      <c r="D42" s="30" t="n">
        <f aca="false">SUM(F42:AC42)</f>
        <v>1222.23534554317</v>
      </c>
      <c r="F42" s="30" t="n">
        <f aca="false">F40*$C$8*$C$10*$C$12*2204.62</f>
        <v>58.547652416</v>
      </c>
      <c r="G42" s="30" t="n">
        <f aca="false">G40*$C$8*$C$10*$C$12*2204.62</f>
        <v>58.547652416</v>
      </c>
      <c r="H42" s="30" t="n">
        <f aca="false">H40*$C$8*$C$10*$C$12*2204.62</f>
        <v>64.4024176576</v>
      </c>
      <c r="I42" s="30" t="n">
        <f aca="false">I40*$C$8*$C$10*$C$12*2204.62</f>
        <v>64.4024176576</v>
      </c>
      <c r="J42" s="30" t="n">
        <f aca="false">J40*$C$8*$C$10*$C$12*2204.62</f>
        <v>64.4024176576</v>
      </c>
      <c r="K42" s="30" t="n">
        <f aca="false">K40*$C$8*$C$10*$C$12*2204.62</f>
        <v>64.4024176576</v>
      </c>
      <c r="L42" s="30" t="n">
        <f aca="false">L40*$C$8*$C$10*$C$12*2204.62</f>
        <v>64.4024176576</v>
      </c>
      <c r="M42" s="30" t="n">
        <f aca="false">M40*$C$8*$C$10*$C$12*2204.62</f>
        <v>64.4024176576</v>
      </c>
      <c r="N42" s="30" t="n">
        <f aca="false">N40*$C$8*$C$10*$C$12*2204.62</f>
        <v>64.4024176576</v>
      </c>
      <c r="O42" s="30" t="n">
        <f aca="false">O40*$C$8*$C$10*$C$12*2204.62</f>
        <v>64.4024176576</v>
      </c>
      <c r="P42" s="30" t="n">
        <f aca="false">P40*$C$8*$C$10*$C$12*2204.62</f>
        <v>64.4024176576</v>
      </c>
      <c r="Q42" s="30" t="n">
        <f aca="false">Q40*$C$8*$C$10*$C$12*2204.62</f>
        <v>64.4024176576</v>
      </c>
      <c r="R42" s="30" t="n">
        <f aca="false">R40*$C$8*$C$10*$C$12*2204.62</f>
        <v>64.4024176576</v>
      </c>
      <c r="S42" s="30" t="n">
        <f aca="false">S40*$C$8*$C$10*$C$12*2204.62</f>
        <v>64.4024176576</v>
      </c>
      <c r="T42" s="30" t="n">
        <f aca="false">T40*$C$8*$C$10*$C$12*2204.62</f>
        <v>64.4024176576</v>
      </c>
      <c r="U42" s="30" t="n">
        <f aca="false">U40*$C$8*$C$10*$C$12*2204.62</f>
        <v>64.4024176576</v>
      </c>
      <c r="V42" s="30" t="n">
        <f aca="false">V40*$C$8*$C$10*$C$12*2204.62</f>
        <v>64.4024176576</v>
      </c>
      <c r="W42" s="30" t="n">
        <f aca="false">W40*$C$8*$C$10*$C$12*2204.62</f>
        <v>64.4024176576</v>
      </c>
      <c r="X42" s="30" t="n">
        <f aca="false">X40*$C$8*$C$10*$C$12*2204.62</f>
        <v>64.4024176576</v>
      </c>
      <c r="Y42" s="30" t="n">
        <f aca="false">Y40*$C$8*$C$10*$C$12*2204.62</f>
        <v>10.2989405319682</v>
      </c>
      <c r="Z42" s="30" t="n">
        <f aca="false">Z40*$C$8*$C$10*$C$12*2204.62</f>
        <v>0</v>
      </c>
      <c r="AA42" s="30" t="n">
        <f aca="false">AA40*$C$8*$C$10*$C$12*2204.62</f>
        <v>0</v>
      </c>
      <c r="AB42" s="30" t="n">
        <f aca="false">AB40*$C$8*$C$10*$C$12*2204.62</f>
        <v>0</v>
      </c>
      <c r="AC42" s="30" t="n">
        <f aca="false">AC40*$C$8*$C$10*$C$12*2204.62</f>
        <v>0</v>
      </c>
    </row>
    <row r="43" customFormat="false" ht="15" hidden="false" customHeight="true" outlineLevel="0" collapsed="false">
      <c r="B43" s="6" t="s">
        <v>192</v>
      </c>
      <c r="C43" s="13" t="s">
        <v>193</v>
      </c>
      <c r="D43" s="30" t="n">
        <f aca="false">SUM(F43:AC43)</f>
        <v>2508.32779487839</v>
      </c>
      <c r="F43" s="30" t="n">
        <f aca="false">F40*$C$9*$C$11*$C$13*1000/31.1035</f>
        <v>120.15419486553</v>
      </c>
      <c r="G43" s="30" t="n">
        <f aca="false">G40*$C$9*$C$11*$C$13*1000/31.1035</f>
        <v>120.15419486553</v>
      </c>
      <c r="H43" s="30" t="n">
        <f aca="false">H40*$C$9*$C$11*$C$13*1000/31.1035</f>
        <v>132.169614352083</v>
      </c>
      <c r="I43" s="30" t="n">
        <f aca="false">I40*$C$9*$C$11*$C$13*1000/31.1035</f>
        <v>132.169614352083</v>
      </c>
      <c r="J43" s="30" t="n">
        <f aca="false">J40*$C$9*$C$11*$C$13*1000/31.1035</f>
        <v>132.169614352083</v>
      </c>
      <c r="K43" s="30" t="n">
        <f aca="false">K40*$C$9*$C$11*$C$13*1000/31.1035</f>
        <v>132.169614352083</v>
      </c>
      <c r="L43" s="30" t="n">
        <f aca="false">L40*$C$9*$C$11*$C$13*1000/31.1035</f>
        <v>132.169614352083</v>
      </c>
      <c r="M43" s="30" t="n">
        <f aca="false">M40*$C$9*$C$11*$C$13*1000/31.1035</f>
        <v>132.169614352083</v>
      </c>
      <c r="N43" s="30" t="n">
        <f aca="false">N40*$C$9*$C$11*$C$13*1000/31.1035</f>
        <v>132.169614352083</v>
      </c>
      <c r="O43" s="30" t="n">
        <f aca="false">O40*$C$9*$C$11*$C$13*1000/31.1035</f>
        <v>132.169614352083</v>
      </c>
      <c r="P43" s="30" t="n">
        <f aca="false">P40*$C$9*$C$11*$C$13*1000/31.1035</f>
        <v>132.169614352083</v>
      </c>
      <c r="Q43" s="30" t="n">
        <f aca="false">Q40*$C$9*$C$11*$C$13*1000/31.1035</f>
        <v>132.169614352083</v>
      </c>
      <c r="R43" s="30" t="n">
        <f aca="false">R40*$C$9*$C$11*$C$13*1000/31.1035</f>
        <v>132.169614352083</v>
      </c>
      <c r="S43" s="30" t="n">
        <f aca="false">S40*$C$9*$C$11*$C$13*1000/31.1035</f>
        <v>132.169614352083</v>
      </c>
      <c r="T43" s="30" t="n">
        <f aca="false">T40*$C$9*$C$11*$C$13*1000/31.1035</f>
        <v>132.169614352083</v>
      </c>
      <c r="U43" s="30" t="n">
        <f aca="false">U40*$C$9*$C$11*$C$13*1000/31.1035</f>
        <v>132.169614352083</v>
      </c>
      <c r="V43" s="30" t="n">
        <f aca="false">V40*$C$9*$C$11*$C$13*1000/31.1035</f>
        <v>132.169614352083</v>
      </c>
      <c r="W43" s="30" t="n">
        <f aca="false">W40*$C$9*$C$11*$C$13*1000/31.1035</f>
        <v>132.169614352083</v>
      </c>
      <c r="X43" s="30" t="n">
        <f aca="false">X40*$C$9*$C$11*$C$13*1000/31.1035</f>
        <v>132.169614352083</v>
      </c>
      <c r="Y43" s="30" t="n">
        <f aca="false">Y40*$C$9*$C$11*$C$13*1000/31.1035</f>
        <v>21.1359611619276</v>
      </c>
      <c r="Z43" s="30" t="n">
        <f aca="false">Z40*$C$9*$C$11*$C$13*1000/31.1035</f>
        <v>0</v>
      </c>
      <c r="AA43" s="30" t="n">
        <f aca="false">AA40*$C$9*$C$11*$C$13*1000/31.1035</f>
        <v>0</v>
      </c>
      <c r="AB43" s="30" t="n">
        <f aca="false">AB40*$C$9*$C$11*$C$13*1000/31.1035</f>
        <v>0</v>
      </c>
      <c r="AC43" s="30" t="n">
        <f aca="false">AC40*$C$9*$C$11*$C$13*1000/31.1035</f>
        <v>0</v>
      </c>
    </row>
    <row r="44" customFormat="false" ht="15" hidden="false" customHeight="true" outlineLevel="0" collapsed="false">
      <c r="B44" s="6" t="s">
        <v>194</v>
      </c>
      <c r="C44" s="13" t="s">
        <v>47</v>
      </c>
      <c r="F44" s="19" t="n">
        <f aca="false">F36*(1-$C$29)+F36*$C$29*$C$30</f>
        <v>5.04375</v>
      </c>
      <c r="G44" s="19" t="n">
        <f aca="false">G36*(1-$C$29)+G36*$C$29*$C$30</f>
        <v>4.6234375</v>
      </c>
      <c r="H44" s="19" t="n">
        <f aca="false">H36*(1-$C$29)+H36*$C$29*$C$30</f>
        <v>4.203125</v>
      </c>
      <c r="I44" s="19" t="n">
        <f aca="false">I36*(1-$C$29)+I36*$C$29*$C$30</f>
        <v>4.203125</v>
      </c>
      <c r="J44" s="19" t="n">
        <f aca="false">J36*(1-$C$29)+J36*$C$29*$C$30</f>
        <v>4.203125</v>
      </c>
      <c r="K44" s="19" t="n">
        <f aca="false">K36*(1-$C$29)+K36*$C$29*$C$30</f>
        <v>4.203125</v>
      </c>
      <c r="L44" s="19" t="n">
        <f aca="false">L36*(1-$C$29)+L36*$C$29*$C$30</f>
        <v>4.203125</v>
      </c>
      <c r="M44" s="19" t="n">
        <f aca="false">M36*(1-$C$29)+M36*$C$29*$C$30</f>
        <v>4.203125</v>
      </c>
      <c r="N44" s="19" t="n">
        <f aca="false">N36*(1-$C$29)+N36*$C$29*$C$30</f>
        <v>4.203125</v>
      </c>
      <c r="O44" s="19" t="n">
        <f aca="false">O36*(1-$C$29)+O36*$C$29*$C$30</f>
        <v>4.203125</v>
      </c>
      <c r="P44" s="19" t="n">
        <f aca="false">P36*(1-$C$29)+P36*$C$29*$C$30</f>
        <v>4.203125</v>
      </c>
      <c r="Q44" s="19" t="n">
        <f aca="false">Q36*(1-$C$29)+Q36*$C$29*$C$30</f>
        <v>4.203125</v>
      </c>
      <c r="R44" s="19" t="n">
        <f aca="false">R36*(1-$C$29)+R36*$C$29*$C$30</f>
        <v>4.203125</v>
      </c>
      <c r="S44" s="19" t="n">
        <f aca="false">S36*(1-$C$29)+S36*$C$29*$C$30</f>
        <v>4.203125</v>
      </c>
      <c r="T44" s="19" t="n">
        <f aca="false">T36*(1-$C$29)+T36*$C$29*$C$30</f>
        <v>4.203125</v>
      </c>
      <c r="U44" s="19" t="n">
        <f aca="false">U36*(1-$C$29)+U36*$C$29*$C$30</f>
        <v>4.203125</v>
      </c>
      <c r="V44" s="19" t="n">
        <f aca="false">V36*(1-$C$29)+V36*$C$29*$C$30</f>
        <v>4.203125</v>
      </c>
      <c r="W44" s="19" t="n">
        <f aca="false">W36*(1-$C$29)+W36*$C$29*$C$30</f>
        <v>4.203125</v>
      </c>
      <c r="X44" s="19" t="n">
        <f aca="false">X36*(1-$C$29)+X36*$C$29*$C$30</f>
        <v>4.203125</v>
      </c>
      <c r="Y44" s="19" t="n">
        <f aca="false">Y36*(1-$C$29)+Y36*$C$29*$C$30</f>
        <v>4.203125</v>
      </c>
      <c r="Z44" s="19" t="n">
        <f aca="false">Z36*(1-$C$29)+Z36*$C$29*$C$30</f>
        <v>4.203125</v>
      </c>
      <c r="AA44" s="19" t="n">
        <f aca="false">AA36*(1-$C$29)+AA36*$C$29*$C$30</f>
        <v>4.203125</v>
      </c>
      <c r="AB44" s="19" t="n">
        <f aca="false">AB36*(1-$C$29)+AB36*$C$29*$C$30</f>
        <v>4.203125</v>
      </c>
      <c r="AC44" s="19" t="n">
        <f aca="false">AC36*(1-$C$29)+AC36*$C$29*$C$30</f>
        <v>4.203125</v>
      </c>
    </row>
    <row r="45" customFormat="false" ht="15" hidden="false" customHeight="true" outlineLevel="0" collapsed="false">
      <c r="B45" s="6" t="s">
        <v>195</v>
      </c>
      <c r="C45" s="13" t="s">
        <v>50</v>
      </c>
      <c r="F45" s="20" t="n">
        <f aca="false">F37*(1-$C$27)+$C$27*$C$28</f>
        <v>2687.25</v>
      </c>
      <c r="G45" s="20" t="n">
        <f aca="false">G37*(1-$C$27)+$C$27*$C$28</f>
        <v>2492.25</v>
      </c>
      <c r="H45" s="20" t="n">
        <f aca="false">H37*(1-$C$27)+$C$27*$C$28</f>
        <v>2297.25</v>
      </c>
      <c r="I45" s="20" t="n">
        <f aca="false">I37*(1-$C$27)+$C$27*$C$28</f>
        <v>2297.25</v>
      </c>
      <c r="J45" s="20" t="n">
        <f aca="false">J37*(1-$C$27)+$C$27*$C$28</f>
        <v>2297.25</v>
      </c>
      <c r="K45" s="20" t="n">
        <f aca="false">K37*(1-$C$27)+$C$27*$C$28</f>
        <v>2297.25</v>
      </c>
      <c r="L45" s="20" t="n">
        <f aca="false">L37*(1-$C$27)+$C$27*$C$28</f>
        <v>2297.25</v>
      </c>
      <c r="M45" s="20" t="n">
        <f aca="false">M37*(1-$C$27)+$C$27*$C$28</f>
        <v>2297.25</v>
      </c>
      <c r="N45" s="20" t="n">
        <f aca="false">N37*(1-$C$27)+$C$27*$C$28</f>
        <v>2297.25</v>
      </c>
      <c r="O45" s="20" t="n">
        <f aca="false">O37*(1-$C$27)+$C$27*$C$28</f>
        <v>2297.25</v>
      </c>
      <c r="P45" s="20" t="n">
        <f aca="false">P37*(1-$C$27)+$C$27*$C$28</f>
        <v>2297.25</v>
      </c>
      <c r="Q45" s="20" t="n">
        <f aca="false">Q37*(1-$C$27)+$C$27*$C$28</f>
        <v>2297.25</v>
      </c>
      <c r="R45" s="20" t="n">
        <f aca="false">R37*(1-$C$27)+$C$27*$C$28</f>
        <v>2297.25</v>
      </c>
      <c r="S45" s="20" t="n">
        <f aca="false">S37*(1-$C$27)+$C$27*$C$28</f>
        <v>2297.25</v>
      </c>
      <c r="T45" s="20" t="n">
        <f aca="false">T37*(1-$C$27)+$C$27*$C$28</f>
        <v>2297.25</v>
      </c>
      <c r="U45" s="20" t="n">
        <f aca="false">U37*(1-$C$27)+$C$27*$C$28</f>
        <v>2297.25</v>
      </c>
      <c r="V45" s="20" t="n">
        <f aca="false">V37*(1-$C$27)+$C$27*$C$28</f>
        <v>2297.25</v>
      </c>
      <c r="W45" s="20" t="n">
        <f aca="false">W37*(1-$C$27)+$C$27*$C$28</f>
        <v>2297.25</v>
      </c>
      <c r="X45" s="20" t="n">
        <f aca="false">X37*(1-$C$27)+$C$27*$C$28</f>
        <v>2297.25</v>
      </c>
      <c r="Y45" s="20" t="n">
        <f aca="false">Y37*(1-$C$27)+$C$27*$C$28</f>
        <v>2297.25</v>
      </c>
      <c r="Z45" s="20" t="n">
        <f aca="false">Z37*(1-$C$27)+$C$27*$C$28</f>
        <v>2297.25</v>
      </c>
      <c r="AA45" s="20" t="n">
        <f aca="false">AA37*(1-$C$27)+$C$27*$C$28</f>
        <v>2297.25</v>
      </c>
      <c r="AB45" s="20" t="n">
        <f aca="false">AB37*(1-$C$27)+$C$27*$C$28</f>
        <v>2297.25</v>
      </c>
      <c r="AC45" s="20" t="n">
        <f aca="false">AC37*(1-$C$27)+$C$27*$C$28</f>
        <v>2297.25</v>
      </c>
    </row>
    <row r="46" customFormat="false" ht="15" hidden="false" customHeight="true" outlineLevel="0" collapsed="false">
      <c r="B46" s="6" t="s">
        <v>196</v>
      </c>
      <c r="C46" s="13" t="s">
        <v>165</v>
      </c>
      <c r="D46" s="30" t="n">
        <f aca="false">SUM(F46:AC46)</f>
        <v>5211.03286720443</v>
      </c>
      <c r="F46" s="30" t="n">
        <f aca="false">F42*F44</f>
        <v>295.2997218732</v>
      </c>
      <c r="G46" s="30" t="n">
        <f aca="false">G42*G44</f>
        <v>270.6914117171</v>
      </c>
      <c r="H46" s="30" t="n">
        <f aca="false">H42*H44</f>
        <v>270.6914117171</v>
      </c>
      <c r="I46" s="30" t="n">
        <f aca="false">I42*I44</f>
        <v>270.6914117171</v>
      </c>
      <c r="J46" s="30" t="n">
        <f aca="false">J42*J44</f>
        <v>270.6914117171</v>
      </c>
      <c r="K46" s="30" t="n">
        <f aca="false">K42*K44</f>
        <v>270.6914117171</v>
      </c>
      <c r="L46" s="30" t="n">
        <f aca="false">L42*L44</f>
        <v>270.6914117171</v>
      </c>
      <c r="M46" s="30" t="n">
        <f aca="false">M42*M44</f>
        <v>270.6914117171</v>
      </c>
      <c r="N46" s="30" t="n">
        <f aca="false">N42*N44</f>
        <v>270.6914117171</v>
      </c>
      <c r="O46" s="30" t="n">
        <f aca="false">O42*O44</f>
        <v>270.6914117171</v>
      </c>
      <c r="P46" s="30" t="n">
        <f aca="false">P42*P44</f>
        <v>270.6914117171</v>
      </c>
      <c r="Q46" s="30" t="n">
        <f aca="false">Q42*Q44</f>
        <v>270.6914117171</v>
      </c>
      <c r="R46" s="30" t="n">
        <f aca="false">R42*R44</f>
        <v>270.6914117171</v>
      </c>
      <c r="S46" s="30" t="n">
        <f aca="false">S42*S44</f>
        <v>270.6914117171</v>
      </c>
      <c r="T46" s="30" t="n">
        <f aca="false">T42*T44</f>
        <v>270.6914117171</v>
      </c>
      <c r="U46" s="30" t="n">
        <f aca="false">U42*U44</f>
        <v>270.6914117171</v>
      </c>
      <c r="V46" s="30" t="n">
        <f aca="false">V42*V44</f>
        <v>270.6914117171</v>
      </c>
      <c r="W46" s="30" t="n">
        <f aca="false">W42*W44</f>
        <v>270.6914117171</v>
      </c>
      <c r="X46" s="30" t="n">
        <f aca="false">X42*X44</f>
        <v>270.6914117171</v>
      </c>
      <c r="Y46" s="30" t="n">
        <f aca="false">Y42*Y44</f>
        <v>43.287734423429</v>
      </c>
      <c r="Z46" s="30" t="n">
        <f aca="false">Z42*Z44</f>
        <v>0</v>
      </c>
      <c r="AA46" s="30" t="n">
        <f aca="false">AA42*AA44</f>
        <v>0</v>
      </c>
      <c r="AB46" s="30" t="n">
        <f aca="false">AB42*AB44</f>
        <v>0</v>
      </c>
      <c r="AC46" s="30" t="n">
        <f aca="false">AC42*AC44</f>
        <v>0</v>
      </c>
    </row>
    <row r="47" customFormat="false" ht="15" hidden="false" customHeight="true" outlineLevel="0" collapsed="false">
      <c r="B47" s="6" t="s">
        <v>197</v>
      </c>
      <c r="C47" s="13" t="s">
        <v>165</v>
      </c>
      <c r="D47" s="30" t="n">
        <f aca="false">SUM(F47:AC47)</f>
        <v>5832.54623078072</v>
      </c>
      <c r="F47" s="30" t="n">
        <f aca="false">F43*F45/1000</f>
        <v>322.884360152394</v>
      </c>
      <c r="G47" s="30" t="n">
        <f aca="false">G43*G45/1000</f>
        <v>299.454292153616</v>
      </c>
      <c r="H47" s="30" t="n">
        <f aca="false">H43*H45/1000</f>
        <v>303.626646570322</v>
      </c>
      <c r="I47" s="30" t="n">
        <f aca="false">I43*I45/1000</f>
        <v>303.626646570322</v>
      </c>
      <c r="J47" s="30" t="n">
        <f aca="false">J43*J45/1000</f>
        <v>303.626646570322</v>
      </c>
      <c r="K47" s="30" t="n">
        <f aca="false">K43*K45/1000</f>
        <v>303.626646570322</v>
      </c>
      <c r="L47" s="30" t="n">
        <f aca="false">L43*L45/1000</f>
        <v>303.626646570322</v>
      </c>
      <c r="M47" s="30" t="n">
        <f aca="false">M43*M45/1000</f>
        <v>303.626646570322</v>
      </c>
      <c r="N47" s="30" t="n">
        <f aca="false">N43*N45/1000</f>
        <v>303.626646570322</v>
      </c>
      <c r="O47" s="30" t="n">
        <f aca="false">O43*O45/1000</f>
        <v>303.626646570322</v>
      </c>
      <c r="P47" s="30" t="n">
        <f aca="false">P43*P45/1000</f>
        <v>303.626646570322</v>
      </c>
      <c r="Q47" s="30" t="n">
        <f aca="false">Q43*Q45/1000</f>
        <v>303.626646570322</v>
      </c>
      <c r="R47" s="30" t="n">
        <f aca="false">R43*R45/1000</f>
        <v>303.626646570322</v>
      </c>
      <c r="S47" s="30" t="n">
        <f aca="false">S43*S45/1000</f>
        <v>303.626646570322</v>
      </c>
      <c r="T47" s="30" t="n">
        <f aca="false">T43*T45/1000</f>
        <v>303.626646570322</v>
      </c>
      <c r="U47" s="30" t="n">
        <f aca="false">U43*U45/1000</f>
        <v>303.626646570322</v>
      </c>
      <c r="V47" s="30" t="n">
        <f aca="false">V43*V45/1000</f>
        <v>303.626646570322</v>
      </c>
      <c r="W47" s="30" t="n">
        <f aca="false">W43*W45/1000</f>
        <v>303.626646570322</v>
      </c>
      <c r="X47" s="30" t="n">
        <f aca="false">X43*X45/1000</f>
        <v>303.626646570322</v>
      </c>
      <c r="Y47" s="30" t="n">
        <f aca="false">Y43*Y45/1000</f>
        <v>48.5545867792382</v>
      </c>
      <c r="Z47" s="30" t="n">
        <f aca="false">Z43*Z45/1000</f>
        <v>0</v>
      </c>
      <c r="AA47" s="30" t="n">
        <f aca="false">AA43*AA45/1000</f>
        <v>0</v>
      </c>
      <c r="AB47" s="30" t="n">
        <f aca="false">AB43*AB45/1000</f>
        <v>0</v>
      </c>
      <c r="AC47" s="30" t="n">
        <f aca="false">AC43*AC45/1000</f>
        <v>0</v>
      </c>
    </row>
    <row r="48" customFormat="false" ht="15" hidden="false" customHeight="true" outlineLevel="0" collapsed="false">
      <c r="B48" s="5" t="s">
        <v>198</v>
      </c>
      <c r="C48" s="13" t="s">
        <v>165</v>
      </c>
      <c r="D48" s="31" t="n">
        <f aca="false">SUM(F48:AC48)</f>
        <v>11043.5790979851</v>
      </c>
      <c r="F48" s="32" t="n">
        <f aca="false">F46+F47</f>
        <v>618.184082025594</v>
      </c>
      <c r="G48" s="32" t="n">
        <f aca="false">G46+G47</f>
        <v>570.145703870716</v>
      </c>
      <c r="H48" s="32" t="n">
        <f aca="false">H46+H47</f>
        <v>574.318058287422</v>
      </c>
      <c r="I48" s="32" t="n">
        <f aca="false">I46+I47</f>
        <v>574.318058287422</v>
      </c>
      <c r="J48" s="32" t="n">
        <f aca="false">J46+J47</f>
        <v>574.318058287422</v>
      </c>
      <c r="K48" s="32" t="n">
        <f aca="false">K46+K47</f>
        <v>574.318058287422</v>
      </c>
      <c r="L48" s="32" t="n">
        <f aca="false">L46+L47</f>
        <v>574.318058287422</v>
      </c>
      <c r="M48" s="32" t="n">
        <f aca="false">M46+M47</f>
        <v>574.318058287422</v>
      </c>
      <c r="N48" s="32" t="n">
        <f aca="false">N46+N47</f>
        <v>574.318058287422</v>
      </c>
      <c r="O48" s="32" t="n">
        <f aca="false">O46+O47</f>
        <v>574.318058287422</v>
      </c>
      <c r="P48" s="32" t="n">
        <f aca="false">P46+P47</f>
        <v>574.318058287422</v>
      </c>
      <c r="Q48" s="32" t="n">
        <f aca="false">Q46+Q47</f>
        <v>574.318058287422</v>
      </c>
      <c r="R48" s="32" t="n">
        <f aca="false">R46+R47</f>
        <v>574.318058287422</v>
      </c>
      <c r="S48" s="32" t="n">
        <f aca="false">S46+S47</f>
        <v>574.318058287422</v>
      </c>
      <c r="T48" s="32" t="n">
        <f aca="false">T46+T47</f>
        <v>574.318058287422</v>
      </c>
      <c r="U48" s="32" t="n">
        <f aca="false">U46+U47</f>
        <v>574.318058287422</v>
      </c>
      <c r="V48" s="32" t="n">
        <f aca="false">V46+V47</f>
        <v>574.318058287422</v>
      </c>
      <c r="W48" s="32" t="n">
        <f aca="false">W46+W47</f>
        <v>574.318058287422</v>
      </c>
      <c r="X48" s="32" t="n">
        <f aca="false">X46+X47</f>
        <v>574.318058287422</v>
      </c>
      <c r="Y48" s="32" t="n">
        <f aca="false">Y46+Y47</f>
        <v>91.8423212026672</v>
      </c>
      <c r="Z48" s="32" t="n">
        <f aca="false">Z46+Z47</f>
        <v>0</v>
      </c>
      <c r="AA48" s="32" t="n">
        <f aca="false">AA46+AA47</f>
        <v>0</v>
      </c>
      <c r="AB48" s="32" t="n">
        <f aca="false">AB46+AB47</f>
        <v>0</v>
      </c>
      <c r="AC48" s="32" t="n">
        <f aca="false">AC46+AC47</f>
        <v>0</v>
      </c>
    </row>
    <row r="49" customFormat="false" ht="15" hidden="false" customHeight="true" outlineLevel="0" collapsed="false">
      <c r="B49" s="6" t="s">
        <v>160</v>
      </c>
      <c r="C49" s="13" t="s">
        <v>165</v>
      </c>
      <c r="D49" s="30" t="n">
        <f aca="false">SUM(F49:AC49)</f>
        <v>-550.005905494426</v>
      </c>
      <c r="F49" s="30" t="n">
        <f aca="false">-F42*$C$19</f>
        <v>-26.3464435872</v>
      </c>
      <c r="G49" s="30" t="n">
        <f aca="false">-G42*$C$19</f>
        <v>-26.3464435872</v>
      </c>
      <c r="H49" s="30" t="n">
        <f aca="false">-H42*$C$19</f>
        <v>-28.98108794592</v>
      </c>
      <c r="I49" s="30" t="n">
        <f aca="false">-I42*$C$19</f>
        <v>-28.98108794592</v>
      </c>
      <c r="J49" s="30" t="n">
        <f aca="false">-J42*$C$19</f>
        <v>-28.98108794592</v>
      </c>
      <c r="K49" s="30" t="n">
        <f aca="false">-K42*$C$19</f>
        <v>-28.98108794592</v>
      </c>
      <c r="L49" s="30" t="n">
        <f aca="false">-L42*$C$19</f>
        <v>-28.98108794592</v>
      </c>
      <c r="M49" s="30" t="n">
        <f aca="false">-M42*$C$19</f>
        <v>-28.98108794592</v>
      </c>
      <c r="N49" s="30" t="n">
        <f aca="false">-N42*$C$19</f>
        <v>-28.98108794592</v>
      </c>
      <c r="O49" s="30" t="n">
        <f aca="false">-O42*$C$19</f>
        <v>-28.98108794592</v>
      </c>
      <c r="P49" s="30" t="n">
        <f aca="false">-P42*$C$19</f>
        <v>-28.98108794592</v>
      </c>
      <c r="Q49" s="30" t="n">
        <f aca="false">-Q42*$C$19</f>
        <v>-28.98108794592</v>
      </c>
      <c r="R49" s="30" t="n">
        <f aca="false">-R42*$C$19</f>
        <v>-28.98108794592</v>
      </c>
      <c r="S49" s="30" t="n">
        <f aca="false">-S42*$C$19</f>
        <v>-28.98108794592</v>
      </c>
      <c r="T49" s="30" t="n">
        <f aca="false">-T42*$C$19</f>
        <v>-28.98108794592</v>
      </c>
      <c r="U49" s="30" t="n">
        <f aca="false">-U42*$C$19</f>
        <v>-28.98108794592</v>
      </c>
      <c r="V49" s="30" t="n">
        <f aca="false">-V42*$C$19</f>
        <v>-28.98108794592</v>
      </c>
      <c r="W49" s="30" t="n">
        <f aca="false">-W42*$C$19</f>
        <v>-28.98108794592</v>
      </c>
      <c r="X49" s="30" t="n">
        <f aca="false">-X42*$C$19</f>
        <v>-28.98108794592</v>
      </c>
      <c r="Y49" s="30" t="n">
        <f aca="false">-Y42*$C$19</f>
        <v>-4.63452323938571</v>
      </c>
      <c r="Z49" s="30" t="n">
        <f aca="false">-Z42*$C$19</f>
        <v>-0</v>
      </c>
      <c r="AA49" s="30" t="n">
        <f aca="false">-AA42*$C$19</f>
        <v>-0</v>
      </c>
      <c r="AB49" s="30" t="n">
        <f aca="false">-AB42*$C$19</f>
        <v>-0</v>
      </c>
      <c r="AC49" s="30" t="n">
        <f aca="false">-AC42*$C$19</f>
        <v>-0</v>
      </c>
    </row>
    <row r="50" customFormat="false" ht="15" hidden="false" customHeight="true" outlineLevel="0" collapsed="false">
      <c r="B50" s="6" t="s">
        <v>199</v>
      </c>
      <c r="C50" s="13" t="s">
        <v>165</v>
      </c>
      <c r="D50" s="30" t="n">
        <f aca="false">SUM(F50:AC50)</f>
        <v>0</v>
      </c>
      <c r="F50" s="30" t="n">
        <f aca="false">-F48*$C$25</f>
        <v>-0</v>
      </c>
      <c r="G50" s="30" t="n">
        <f aca="false">-G48*$C$25</f>
        <v>-0</v>
      </c>
      <c r="H50" s="30" t="n">
        <f aca="false">-H48*$C$25</f>
        <v>-0</v>
      </c>
      <c r="I50" s="30" t="n">
        <f aca="false">-I48*$C$25</f>
        <v>-0</v>
      </c>
      <c r="J50" s="30" t="n">
        <f aca="false">-J48*$C$25</f>
        <v>-0</v>
      </c>
      <c r="K50" s="30" t="n">
        <f aca="false">-K48*$C$25</f>
        <v>-0</v>
      </c>
      <c r="L50" s="30" t="n">
        <f aca="false">-L48*$C$25</f>
        <v>-0</v>
      </c>
      <c r="M50" s="30" t="n">
        <f aca="false">-M48*$C$25</f>
        <v>-0</v>
      </c>
      <c r="N50" s="30" t="n">
        <f aca="false">-N48*$C$25</f>
        <v>-0</v>
      </c>
      <c r="O50" s="30" t="n">
        <f aca="false">-O48*$C$25</f>
        <v>-0</v>
      </c>
      <c r="P50" s="30" t="n">
        <f aca="false">-P48*$C$25</f>
        <v>-0</v>
      </c>
      <c r="Q50" s="30" t="n">
        <f aca="false">-Q48*$C$25</f>
        <v>-0</v>
      </c>
      <c r="R50" s="30" t="n">
        <f aca="false">-R48*$C$25</f>
        <v>-0</v>
      </c>
      <c r="S50" s="30" t="n">
        <f aca="false">-S48*$C$25</f>
        <v>-0</v>
      </c>
      <c r="T50" s="30" t="n">
        <f aca="false">-T48*$C$25</f>
        <v>-0</v>
      </c>
      <c r="U50" s="30" t="n">
        <f aca="false">-U48*$C$25</f>
        <v>-0</v>
      </c>
      <c r="V50" s="30" t="n">
        <f aca="false">-V48*$C$25</f>
        <v>-0</v>
      </c>
      <c r="W50" s="30" t="n">
        <f aca="false">-W48*$C$25</f>
        <v>-0</v>
      </c>
      <c r="X50" s="30" t="n">
        <f aca="false">-X48*$C$25</f>
        <v>-0</v>
      </c>
      <c r="Y50" s="30" t="n">
        <f aca="false">-Y48*$C$25</f>
        <v>-0</v>
      </c>
      <c r="Z50" s="30" t="n">
        <f aca="false">-Z48*$C$25</f>
        <v>-0</v>
      </c>
      <c r="AA50" s="30" t="n">
        <f aca="false">-AA48*$C$25</f>
        <v>-0</v>
      </c>
      <c r="AB50" s="30" t="n">
        <f aca="false">-AB48*$C$25</f>
        <v>-0</v>
      </c>
      <c r="AC50" s="30" t="n">
        <f aca="false">-AC48*$C$25</f>
        <v>-0</v>
      </c>
    </row>
    <row r="51" customFormat="false" ht="15" hidden="false" customHeight="true" outlineLevel="0" collapsed="false">
      <c r="B51" s="6" t="s">
        <v>200</v>
      </c>
      <c r="C51" s="13" t="s">
        <v>165</v>
      </c>
      <c r="D51" s="30" t="n">
        <f aca="false">SUM(F51:AC51)</f>
        <v>-6059.232</v>
      </c>
      <c r="F51" s="30" t="n">
        <f aca="false">-F40*$C$18</f>
        <v>-290.25</v>
      </c>
      <c r="G51" s="30" t="n">
        <f aca="false">-G40*$C$18</f>
        <v>-290.25</v>
      </c>
      <c r="H51" s="30" t="n">
        <f aca="false">-H40*$C$18</f>
        <v>-319.275</v>
      </c>
      <c r="I51" s="30" t="n">
        <f aca="false">-I40*$C$18</f>
        <v>-319.275</v>
      </c>
      <c r="J51" s="30" t="n">
        <f aca="false">-J40*$C$18</f>
        <v>-319.275</v>
      </c>
      <c r="K51" s="30" t="n">
        <f aca="false">-K40*$C$18</f>
        <v>-319.275</v>
      </c>
      <c r="L51" s="30" t="n">
        <f aca="false">-L40*$C$18</f>
        <v>-319.275</v>
      </c>
      <c r="M51" s="30" t="n">
        <f aca="false">-M40*$C$18</f>
        <v>-319.275</v>
      </c>
      <c r="N51" s="30" t="n">
        <f aca="false">-N40*$C$18</f>
        <v>-319.275</v>
      </c>
      <c r="O51" s="30" t="n">
        <f aca="false">-O40*$C$18</f>
        <v>-319.275</v>
      </c>
      <c r="P51" s="30" t="n">
        <f aca="false">-P40*$C$18</f>
        <v>-319.275</v>
      </c>
      <c r="Q51" s="30" t="n">
        <f aca="false">-Q40*$C$18</f>
        <v>-319.275</v>
      </c>
      <c r="R51" s="30" t="n">
        <f aca="false">-R40*$C$18</f>
        <v>-319.275</v>
      </c>
      <c r="S51" s="30" t="n">
        <f aca="false">-S40*$C$18</f>
        <v>-319.275</v>
      </c>
      <c r="T51" s="30" t="n">
        <f aca="false">-T40*$C$18</f>
        <v>-319.275</v>
      </c>
      <c r="U51" s="30" t="n">
        <f aca="false">-U40*$C$18</f>
        <v>-319.275</v>
      </c>
      <c r="V51" s="30" t="n">
        <f aca="false">-V40*$C$18</f>
        <v>-319.275</v>
      </c>
      <c r="W51" s="30" t="n">
        <f aca="false">-W40*$C$18</f>
        <v>-319.275</v>
      </c>
      <c r="X51" s="30" t="n">
        <f aca="false">-X40*$C$18</f>
        <v>-319.275</v>
      </c>
      <c r="Y51" s="30" t="n">
        <f aca="false">-Y40*$C$18</f>
        <v>-51.0570000000012</v>
      </c>
      <c r="Z51" s="30" t="n">
        <f aca="false">-Z40*$C$18</f>
        <v>-0</v>
      </c>
      <c r="AA51" s="30" t="n">
        <f aca="false">-AA40*$C$18</f>
        <v>-0</v>
      </c>
      <c r="AB51" s="30" t="n">
        <f aca="false">-AB40*$C$18</f>
        <v>-0</v>
      </c>
      <c r="AC51" s="30" t="n">
        <f aca="false">-AC40*$C$18</f>
        <v>-0</v>
      </c>
    </row>
    <row r="52" customFormat="false" ht="15" hidden="false" customHeight="true" outlineLevel="0" collapsed="false">
      <c r="B52" s="5" t="s">
        <v>201</v>
      </c>
      <c r="C52" s="13" t="s">
        <v>165</v>
      </c>
      <c r="D52" s="31" t="n">
        <f aca="false">SUM(F52:AC52)</f>
        <v>4434.34119249072</v>
      </c>
      <c r="F52" s="32" t="n">
        <f aca="false">SUM(F48:F51)</f>
        <v>301.587638438394</v>
      </c>
      <c r="G52" s="32" t="n">
        <f aca="false">SUM(G48:G51)</f>
        <v>253.549260283516</v>
      </c>
      <c r="H52" s="32" t="n">
        <f aca="false">SUM(H48:H51)</f>
        <v>226.061970341502</v>
      </c>
      <c r="I52" s="32" t="n">
        <f aca="false">SUM(I48:I51)</f>
        <v>226.061970341502</v>
      </c>
      <c r="J52" s="32" t="n">
        <f aca="false">SUM(J48:J51)</f>
        <v>226.061970341502</v>
      </c>
      <c r="K52" s="32" t="n">
        <f aca="false">SUM(K48:K51)</f>
        <v>226.061970341502</v>
      </c>
      <c r="L52" s="32" t="n">
        <f aca="false">SUM(L48:L51)</f>
        <v>226.061970341502</v>
      </c>
      <c r="M52" s="32" t="n">
        <f aca="false">SUM(M48:M51)</f>
        <v>226.061970341502</v>
      </c>
      <c r="N52" s="32" t="n">
        <f aca="false">SUM(N48:N51)</f>
        <v>226.061970341502</v>
      </c>
      <c r="O52" s="32" t="n">
        <f aca="false">SUM(O48:O51)</f>
        <v>226.061970341502</v>
      </c>
      <c r="P52" s="32" t="n">
        <f aca="false">SUM(P48:P51)</f>
        <v>226.061970341502</v>
      </c>
      <c r="Q52" s="32" t="n">
        <f aca="false">SUM(Q48:Q51)</f>
        <v>226.061970341502</v>
      </c>
      <c r="R52" s="32" t="n">
        <f aca="false">SUM(R48:R51)</f>
        <v>226.061970341502</v>
      </c>
      <c r="S52" s="32" t="n">
        <f aca="false">SUM(S48:S51)</f>
        <v>226.061970341502</v>
      </c>
      <c r="T52" s="32" t="n">
        <f aca="false">SUM(T48:T51)</f>
        <v>226.061970341502</v>
      </c>
      <c r="U52" s="32" t="n">
        <f aca="false">SUM(U48:U51)</f>
        <v>226.061970341502</v>
      </c>
      <c r="V52" s="32" t="n">
        <f aca="false">SUM(V48:V51)</f>
        <v>226.061970341502</v>
      </c>
      <c r="W52" s="32" t="n">
        <f aca="false">SUM(W48:W51)</f>
        <v>226.061970341502</v>
      </c>
      <c r="X52" s="32" t="n">
        <f aca="false">SUM(X48:X51)</f>
        <v>226.061970341502</v>
      </c>
      <c r="Y52" s="32" t="n">
        <f aca="false">SUM(Y48:Y51)</f>
        <v>36.1507979632803</v>
      </c>
      <c r="Z52" s="32" t="n">
        <f aca="false">SUM(Z48:Z51)</f>
        <v>0</v>
      </c>
      <c r="AA52" s="32" t="n">
        <f aca="false">SUM(AA48:AA51)</f>
        <v>0</v>
      </c>
      <c r="AB52" s="32" t="n">
        <f aca="false">SUM(AB48:AB51)</f>
        <v>0</v>
      </c>
      <c r="AC52" s="32" t="n">
        <f aca="false">SUM(AC48:AC51)</f>
        <v>0</v>
      </c>
    </row>
    <row r="53" customFormat="false" ht="15" hidden="false" customHeight="true" outlineLevel="0" collapsed="false">
      <c r="B53" s="6" t="s">
        <v>162</v>
      </c>
      <c r="C53" s="13" t="s">
        <v>165</v>
      </c>
      <c r="D53" s="30" t="n">
        <f aca="false">SUM(F53:AC53)</f>
        <v>-1800</v>
      </c>
      <c r="F53" s="30" t="n">
        <f aca="false">-IF(F40&gt;0,$C$20,0)</f>
        <v>-90</v>
      </c>
      <c r="G53" s="30" t="n">
        <f aca="false">-IF(G40&gt;0,$C$20,0)</f>
        <v>-90</v>
      </c>
      <c r="H53" s="30" t="n">
        <f aca="false">-IF(H40&gt;0,$C$20,0)</f>
        <v>-90</v>
      </c>
      <c r="I53" s="30" t="n">
        <f aca="false">-IF(I40&gt;0,$C$20,0)</f>
        <v>-90</v>
      </c>
      <c r="J53" s="30" t="n">
        <f aca="false">-IF(J40&gt;0,$C$20,0)</f>
        <v>-90</v>
      </c>
      <c r="K53" s="30" t="n">
        <f aca="false">-IF(K40&gt;0,$C$20,0)</f>
        <v>-90</v>
      </c>
      <c r="L53" s="30" t="n">
        <f aca="false">-IF(L40&gt;0,$C$20,0)</f>
        <v>-90</v>
      </c>
      <c r="M53" s="30" t="n">
        <f aca="false">-IF(M40&gt;0,$C$20,0)</f>
        <v>-90</v>
      </c>
      <c r="N53" s="30" t="n">
        <f aca="false">-IF(N40&gt;0,$C$20,0)</f>
        <v>-90</v>
      </c>
      <c r="O53" s="30" t="n">
        <f aca="false">-IF(O40&gt;0,$C$20,0)</f>
        <v>-90</v>
      </c>
      <c r="P53" s="30" t="n">
        <f aca="false">-IF(P40&gt;0,$C$20,0)</f>
        <v>-90</v>
      </c>
      <c r="Q53" s="30" t="n">
        <f aca="false">-IF(Q40&gt;0,$C$20,0)</f>
        <v>-90</v>
      </c>
      <c r="R53" s="30" t="n">
        <f aca="false">-IF(R40&gt;0,$C$20,0)</f>
        <v>-90</v>
      </c>
      <c r="S53" s="30" t="n">
        <f aca="false">-IF(S40&gt;0,$C$20,0)</f>
        <v>-90</v>
      </c>
      <c r="T53" s="30" t="n">
        <f aca="false">-IF(T40&gt;0,$C$20,0)</f>
        <v>-90</v>
      </c>
      <c r="U53" s="30" t="n">
        <f aca="false">-IF(U40&gt;0,$C$20,0)</f>
        <v>-90</v>
      </c>
      <c r="V53" s="30" t="n">
        <f aca="false">-IF(V40&gt;0,$C$20,0)</f>
        <v>-90</v>
      </c>
      <c r="W53" s="30" t="n">
        <f aca="false">-IF(W40&gt;0,$C$20,0)</f>
        <v>-90</v>
      </c>
      <c r="X53" s="30" t="n">
        <f aca="false">-IF(X40&gt;0,$C$20,0)</f>
        <v>-90</v>
      </c>
      <c r="Y53" s="30" t="n">
        <f aca="false">-IF(Y40&gt;0,$C$20,0)</f>
        <v>-90</v>
      </c>
      <c r="Z53" s="30" t="n">
        <f aca="false">-IF(Z40&gt;0,$C$20,0)</f>
        <v>-0</v>
      </c>
      <c r="AA53" s="30" t="n">
        <f aca="false">-IF(AA40&gt;0,$C$20,0)</f>
        <v>-0</v>
      </c>
      <c r="AB53" s="30" t="n">
        <f aca="false">-IF(AB40&gt;0,$C$20,0)</f>
        <v>-0</v>
      </c>
      <c r="AC53" s="30" t="n">
        <f aca="false">-IF(AC40&gt;0,$C$20,0)</f>
        <v>-0</v>
      </c>
    </row>
    <row r="54" customFormat="false" ht="15" hidden="false" customHeight="true" outlineLevel="0" collapsed="false">
      <c r="B54" s="6" t="s">
        <v>202</v>
      </c>
      <c r="C54" s="13" t="s">
        <v>165</v>
      </c>
      <c r="D54" s="30" t="n">
        <f aca="false">SUM(F54:AC54)</f>
        <v>-186</v>
      </c>
      <c r="F54" s="30" t="n">
        <f aca="false">-IF(AND(F$34&gt;=$C$22,F$34&lt;$C$22+$C$23),$C$21/$C$23,0)</f>
        <v>-62</v>
      </c>
      <c r="G54" s="30" t="n">
        <f aca="false">-IF(AND(G$34&gt;=$C$22,G$34&lt;$C$22+$C$23),$C$21/$C$23,0)</f>
        <v>-62</v>
      </c>
      <c r="H54" s="30" t="n">
        <f aca="false">-IF(AND(H$34&gt;=$C$22,H$34&lt;$C$22+$C$23),$C$21/$C$23,0)</f>
        <v>-62</v>
      </c>
      <c r="I54" s="30" t="n">
        <f aca="false">-IF(AND(I$34&gt;=$C$22,I$34&lt;$C$22+$C$23),$C$21/$C$23,0)</f>
        <v>-0</v>
      </c>
      <c r="J54" s="30" t="n">
        <f aca="false">-IF(AND(J$34&gt;=$C$22,J$34&lt;$C$22+$C$23),$C$21/$C$23,0)</f>
        <v>-0</v>
      </c>
      <c r="K54" s="30" t="n">
        <f aca="false">-IF(AND(K$34&gt;=$C$22,K$34&lt;$C$22+$C$23),$C$21/$C$23,0)</f>
        <v>-0</v>
      </c>
      <c r="L54" s="30" t="n">
        <f aca="false">-IF(AND(L$34&gt;=$C$22,L$34&lt;$C$22+$C$23),$C$21/$C$23,0)</f>
        <v>-0</v>
      </c>
      <c r="M54" s="30" t="n">
        <f aca="false">-IF(AND(M$34&gt;=$C$22,M$34&lt;$C$22+$C$23),$C$21/$C$23,0)</f>
        <v>-0</v>
      </c>
      <c r="N54" s="30" t="n">
        <f aca="false">-IF(AND(N$34&gt;=$C$22,N$34&lt;$C$22+$C$23),$C$21/$C$23,0)</f>
        <v>-0</v>
      </c>
      <c r="O54" s="30" t="n">
        <f aca="false">-IF(AND(O$34&gt;=$C$22,O$34&lt;$C$22+$C$23),$C$21/$C$23,0)</f>
        <v>-0</v>
      </c>
      <c r="P54" s="30" t="n">
        <f aca="false">-IF(AND(P$34&gt;=$C$22,P$34&lt;$C$22+$C$23),$C$21/$C$23,0)</f>
        <v>-0</v>
      </c>
      <c r="Q54" s="30" t="n">
        <f aca="false">-IF(AND(Q$34&gt;=$C$22,Q$34&lt;$C$22+$C$23),$C$21/$C$23,0)</f>
        <v>-0</v>
      </c>
      <c r="R54" s="30" t="n">
        <f aca="false">-IF(AND(R$34&gt;=$C$22,R$34&lt;$C$22+$C$23),$C$21/$C$23,0)</f>
        <v>-0</v>
      </c>
      <c r="S54" s="30" t="n">
        <f aca="false">-IF(AND(S$34&gt;=$C$22,S$34&lt;$C$22+$C$23),$C$21/$C$23,0)</f>
        <v>-0</v>
      </c>
      <c r="T54" s="30" t="n">
        <f aca="false">-IF(AND(T$34&gt;=$C$22,T$34&lt;$C$22+$C$23),$C$21/$C$23,0)</f>
        <v>-0</v>
      </c>
      <c r="U54" s="30" t="n">
        <f aca="false">-IF(AND(U$34&gt;=$C$22,U$34&lt;$C$22+$C$23),$C$21/$C$23,0)</f>
        <v>-0</v>
      </c>
      <c r="V54" s="30" t="n">
        <f aca="false">-IF(AND(V$34&gt;=$C$22,V$34&lt;$C$22+$C$23),$C$21/$C$23,0)</f>
        <v>-0</v>
      </c>
      <c r="W54" s="30" t="n">
        <f aca="false">-IF(AND(W$34&gt;=$C$22,W$34&lt;$C$22+$C$23),$C$21/$C$23,0)</f>
        <v>-0</v>
      </c>
      <c r="X54" s="30" t="n">
        <f aca="false">-IF(AND(X$34&gt;=$C$22,X$34&lt;$C$22+$C$23),$C$21/$C$23,0)</f>
        <v>-0</v>
      </c>
      <c r="Y54" s="30" t="n">
        <f aca="false">-IF(AND(Y$34&gt;=$C$22,Y$34&lt;$C$22+$C$23),$C$21/$C$23,0)</f>
        <v>-0</v>
      </c>
      <c r="Z54" s="30" t="n">
        <f aca="false">-IF(AND(Z$34&gt;=$C$22,Z$34&lt;$C$22+$C$23),$C$21/$C$23,0)</f>
        <v>-0</v>
      </c>
      <c r="AA54" s="30" t="n">
        <f aca="false">-IF(AND(AA$34&gt;=$C$22,AA$34&lt;$C$22+$C$23),$C$21/$C$23,0)</f>
        <v>-0</v>
      </c>
      <c r="AB54" s="30" t="n">
        <f aca="false">-IF(AND(AB$34&gt;=$C$22,AB$34&lt;$C$22+$C$23),$C$21/$C$23,0)</f>
        <v>-0</v>
      </c>
      <c r="AC54" s="30" t="n">
        <f aca="false">-IF(AND(AC$34&gt;=$C$22,AC$34&lt;$C$22+$C$23),$C$21/$C$23,0)</f>
        <v>-0</v>
      </c>
    </row>
    <row r="55" customFormat="false" ht="15" hidden="false" customHeight="true" outlineLevel="0" collapsed="false">
      <c r="B55" s="6" t="s">
        <v>203</v>
      </c>
      <c r="C55" s="13" t="s">
        <v>165</v>
      </c>
      <c r="D55" s="30" t="n">
        <f aca="false">SUM(F55:AC55)</f>
        <v>-120</v>
      </c>
      <c r="F55" s="30" t="n">
        <f aca="false">0</f>
        <v>0</v>
      </c>
      <c r="G55" s="30" t="n">
        <f aca="false">-IF(AND(G40=0,F40&gt;0),$C$24,0)</f>
        <v>-0</v>
      </c>
      <c r="H55" s="30" t="n">
        <f aca="false">-IF(AND(H40=0,G40&gt;0),$C$24,0)</f>
        <v>-0</v>
      </c>
      <c r="I55" s="30" t="n">
        <f aca="false">-IF(AND(I40=0,H40&gt;0),$C$24,0)</f>
        <v>-0</v>
      </c>
      <c r="J55" s="30" t="n">
        <f aca="false">-IF(AND(J40=0,I40&gt;0),$C$24,0)</f>
        <v>-0</v>
      </c>
      <c r="K55" s="30" t="n">
        <f aca="false">-IF(AND(K40=0,J40&gt;0),$C$24,0)</f>
        <v>-0</v>
      </c>
      <c r="L55" s="30" t="n">
        <f aca="false">-IF(AND(L40=0,K40&gt;0),$C$24,0)</f>
        <v>-0</v>
      </c>
      <c r="M55" s="30" t="n">
        <f aca="false">-IF(AND(M40=0,L40&gt;0),$C$24,0)</f>
        <v>-0</v>
      </c>
      <c r="N55" s="30" t="n">
        <f aca="false">-IF(AND(N40=0,M40&gt;0),$C$24,0)</f>
        <v>-0</v>
      </c>
      <c r="O55" s="30" t="n">
        <f aca="false">-IF(AND(O40=0,N40&gt;0),$C$24,0)</f>
        <v>-0</v>
      </c>
      <c r="P55" s="30" t="n">
        <f aca="false">-IF(AND(P40=0,O40&gt;0),$C$24,0)</f>
        <v>-0</v>
      </c>
      <c r="Q55" s="30" t="n">
        <f aca="false">-IF(AND(Q40=0,P40&gt;0),$C$24,0)</f>
        <v>-0</v>
      </c>
      <c r="R55" s="30" t="n">
        <f aca="false">-IF(AND(R40=0,Q40&gt;0),$C$24,0)</f>
        <v>-0</v>
      </c>
      <c r="S55" s="30" t="n">
        <f aca="false">-IF(AND(S40=0,R40&gt;0),$C$24,0)</f>
        <v>-0</v>
      </c>
      <c r="T55" s="30" t="n">
        <f aca="false">-IF(AND(T40=0,S40&gt;0),$C$24,0)</f>
        <v>-0</v>
      </c>
      <c r="U55" s="30" t="n">
        <f aca="false">-IF(AND(U40=0,T40&gt;0),$C$24,0)</f>
        <v>-0</v>
      </c>
      <c r="V55" s="30" t="n">
        <f aca="false">-IF(AND(V40=0,U40&gt;0),$C$24,0)</f>
        <v>-0</v>
      </c>
      <c r="W55" s="30" t="n">
        <f aca="false">-IF(AND(W40=0,V40&gt;0),$C$24,0)</f>
        <v>-0</v>
      </c>
      <c r="X55" s="30" t="n">
        <f aca="false">-IF(AND(X40=0,W40&gt;0),$C$24,0)</f>
        <v>-0</v>
      </c>
      <c r="Y55" s="30" t="n">
        <f aca="false">-IF(AND(Y40=0,X40&gt;0),$C$24,0)</f>
        <v>-0</v>
      </c>
      <c r="Z55" s="30" t="n">
        <f aca="false">-IF(AND(Z40=0,Y40&gt;0),$C$24,0)</f>
        <v>-120</v>
      </c>
      <c r="AA55" s="30" t="n">
        <f aca="false">-IF(AND(AA40=0,Z40&gt;0),$C$24,0)</f>
        <v>-0</v>
      </c>
      <c r="AB55" s="30" t="n">
        <f aca="false">-IF(AND(AB40=0,AA40&gt;0),$C$24,0)</f>
        <v>-0</v>
      </c>
      <c r="AC55" s="30" t="n">
        <f aca="false">-IF(AND(AC40=0,AB40&gt;0),$C$24,0)</f>
        <v>-0</v>
      </c>
    </row>
    <row r="56" customFormat="false" ht="15" hidden="false" customHeight="true" outlineLevel="0" collapsed="false">
      <c r="B56" s="6" t="s">
        <v>204</v>
      </c>
      <c r="C56" s="13" t="s">
        <v>165</v>
      </c>
      <c r="D56" s="30" t="n">
        <f aca="false">SUM(F56:AC56)</f>
        <v>-800.70092624878</v>
      </c>
      <c r="F56" s="30" t="n">
        <f aca="false">-MAX(0,(F52+F53+F54)*$C$26)</f>
        <v>-47.8680443002862</v>
      </c>
      <c r="G56" s="30" t="n">
        <f aca="false">-MAX(0,(G52+G53+G54)*$C$26)</f>
        <v>-32.4957632907252</v>
      </c>
      <c r="H56" s="30" t="n">
        <f aca="false">-MAX(0,(H52+H53+H54)*$C$26)</f>
        <v>-23.6998305092805</v>
      </c>
      <c r="I56" s="30" t="n">
        <f aca="false">-MAX(0,(I52+I53+I54)*$C$26)</f>
        <v>-43.5398305092805</v>
      </c>
      <c r="J56" s="30" t="n">
        <f aca="false">-MAX(0,(J52+J53+J54)*$C$26)</f>
        <v>-43.5398305092805</v>
      </c>
      <c r="K56" s="30" t="n">
        <f aca="false">-MAX(0,(K52+K53+K54)*$C$26)</f>
        <v>-43.5398305092805</v>
      </c>
      <c r="L56" s="30" t="n">
        <f aca="false">-MAX(0,(L52+L53+L54)*$C$26)</f>
        <v>-43.5398305092805</v>
      </c>
      <c r="M56" s="30" t="n">
        <f aca="false">-MAX(0,(M52+M53+M54)*$C$26)</f>
        <v>-43.5398305092805</v>
      </c>
      <c r="N56" s="30" t="n">
        <f aca="false">-MAX(0,(N52+N53+N54)*$C$26)</f>
        <v>-43.5398305092805</v>
      </c>
      <c r="O56" s="30" t="n">
        <f aca="false">-MAX(0,(O52+O53+O54)*$C$26)</f>
        <v>-43.5398305092805</v>
      </c>
      <c r="P56" s="30" t="n">
        <f aca="false">-MAX(0,(P52+P53+P54)*$C$26)</f>
        <v>-43.5398305092805</v>
      </c>
      <c r="Q56" s="30" t="n">
        <f aca="false">-MAX(0,(Q52+Q53+Q54)*$C$26)</f>
        <v>-43.5398305092805</v>
      </c>
      <c r="R56" s="30" t="n">
        <f aca="false">-MAX(0,(R52+R53+R54)*$C$26)</f>
        <v>-43.5398305092805</v>
      </c>
      <c r="S56" s="30" t="n">
        <f aca="false">-MAX(0,(S52+S53+S54)*$C$26)</f>
        <v>-43.5398305092805</v>
      </c>
      <c r="T56" s="30" t="n">
        <f aca="false">-MAX(0,(T52+T53+T54)*$C$26)</f>
        <v>-43.5398305092805</v>
      </c>
      <c r="U56" s="30" t="n">
        <f aca="false">-MAX(0,(U52+U53+U54)*$C$26)</f>
        <v>-43.5398305092805</v>
      </c>
      <c r="V56" s="30" t="n">
        <f aca="false">-MAX(0,(V52+V53+V54)*$C$26)</f>
        <v>-43.5398305092805</v>
      </c>
      <c r="W56" s="30" t="n">
        <f aca="false">-MAX(0,(W52+W53+W54)*$C$26)</f>
        <v>-43.5398305092805</v>
      </c>
      <c r="X56" s="30" t="n">
        <f aca="false">-MAX(0,(X52+X53+X54)*$C$26)</f>
        <v>-43.5398305092805</v>
      </c>
      <c r="Y56" s="30" t="n">
        <f aca="false">-MAX(0,(Y52+Y53+Y54)*$C$26)</f>
        <v>-0</v>
      </c>
      <c r="Z56" s="30" t="n">
        <f aca="false">-MAX(0,(Z52+Z53+Z54)*$C$26)</f>
        <v>-0</v>
      </c>
      <c r="AA56" s="30" t="n">
        <f aca="false">-MAX(0,(AA52+AA53+AA54)*$C$26)</f>
        <v>-0</v>
      </c>
      <c r="AB56" s="30" t="n">
        <f aca="false">-MAX(0,(AB52+AB53+AB54)*$C$26)</f>
        <v>-0</v>
      </c>
      <c r="AC56" s="30" t="n">
        <f aca="false">-MAX(0,(AC52+AC53+AC54)*$C$26)</f>
        <v>-0</v>
      </c>
    </row>
    <row r="57" customFormat="false" ht="15" hidden="false" customHeight="true" outlineLevel="0" collapsed="false">
      <c r="B57" s="5" t="s">
        <v>205</v>
      </c>
      <c r="C57" s="13" t="s">
        <v>165</v>
      </c>
      <c r="D57" s="31" t="n">
        <f aca="false">SUM(F57:AC57)</f>
        <v>1527.64026624194</v>
      </c>
      <c r="F57" s="32" t="n">
        <f aca="false">SUM(F52:F56)</f>
        <v>101.719594138108</v>
      </c>
      <c r="G57" s="32" t="n">
        <f aca="false">SUM(G52:G56)</f>
        <v>69.053496992791</v>
      </c>
      <c r="H57" s="32" t="n">
        <f aca="false">SUM(H52:H56)</f>
        <v>50.3621398322211</v>
      </c>
      <c r="I57" s="32" t="n">
        <f aca="false">SUM(I52:I56)</f>
        <v>92.5221398322211</v>
      </c>
      <c r="J57" s="32" t="n">
        <f aca="false">SUM(J52:J56)</f>
        <v>92.5221398322211</v>
      </c>
      <c r="K57" s="32" t="n">
        <f aca="false">SUM(K52:K56)</f>
        <v>92.5221398322211</v>
      </c>
      <c r="L57" s="32" t="n">
        <f aca="false">SUM(L52:L56)</f>
        <v>92.5221398322211</v>
      </c>
      <c r="M57" s="32" t="n">
        <f aca="false">SUM(M52:M56)</f>
        <v>92.5221398322211</v>
      </c>
      <c r="N57" s="32" t="n">
        <f aca="false">SUM(N52:N56)</f>
        <v>92.5221398322211</v>
      </c>
      <c r="O57" s="32" t="n">
        <f aca="false">SUM(O52:O56)</f>
        <v>92.5221398322211</v>
      </c>
      <c r="P57" s="32" t="n">
        <f aca="false">SUM(P52:P56)</f>
        <v>92.5221398322211</v>
      </c>
      <c r="Q57" s="32" t="n">
        <f aca="false">SUM(Q52:Q56)</f>
        <v>92.5221398322211</v>
      </c>
      <c r="R57" s="32" t="n">
        <f aca="false">SUM(R52:R56)</f>
        <v>92.5221398322211</v>
      </c>
      <c r="S57" s="32" t="n">
        <f aca="false">SUM(S52:S56)</f>
        <v>92.5221398322211</v>
      </c>
      <c r="T57" s="32" t="n">
        <f aca="false">SUM(T52:T56)</f>
        <v>92.5221398322211</v>
      </c>
      <c r="U57" s="32" t="n">
        <f aca="false">SUM(U52:U56)</f>
        <v>92.5221398322211</v>
      </c>
      <c r="V57" s="32" t="n">
        <f aca="false">SUM(V52:V56)</f>
        <v>92.5221398322211</v>
      </c>
      <c r="W57" s="32" t="n">
        <f aca="false">SUM(W52:W56)</f>
        <v>92.5221398322211</v>
      </c>
      <c r="X57" s="32" t="n">
        <f aca="false">SUM(X52:X56)</f>
        <v>92.5221398322211</v>
      </c>
      <c r="Y57" s="32" t="n">
        <f aca="false">SUM(Y52:Y56)</f>
        <v>-53.8492020367197</v>
      </c>
      <c r="Z57" s="32" t="n">
        <f aca="false">SUM(Z52:Z56)</f>
        <v>-120</v>
      </c>
      <c r="AA57" s="32" t="n">
        <f aca="false">SUM(AA52:AA56)</f>
        <v>0</v>
      </c>
      <c r="AB57" s="32" t="n">
        <f aca="false">SUM(AB52:AB56)</f>
        <v>0</v>
      </c>
      <c r="AC57" s="32" t="n">
        <f aca="false">SUM(AC52:AC56)</f>
        <v>0</v>
      </c>
    </row>
    <row r="58" customFormat="false" ht="15" hidden="false" customHeight="true" outlineLevel="0" collapsed="false">
      <c r="B58" s="6" t="s">
        <v>206</v>
      </c>
      <c r="C58" s="13"/>
      <c r="F58" s="33" t="n">
        <f aca="false">1/(1+$C$31)^(F35-0.5)</f>
        <v>0.969003166223018</v>
      </c>
      <c r="G58" s="33" t="n">
        <f aca="false">1/(1+$C$31)^(G35-0.5)</f>
        <v>0.909862127908938</v>
      </c>
      <c r="H58" s="33" t="n">
        <f aca="false">1/(1+$C$31)^(H35-0.5)</f>
        <v>0.854330636534214</v>
      </c>
      <c r="I58" s="33" t="n">
        <f aca="false">1/(1+$C$31)^(I35-0.5)</f>
        <v>0.802188391111938</v>
      </c>
      <c r="J58" s="33" t="n">
        <f aca="false">1/(1+$C$31)^(J35-0.5)</f>
        <v>0.753228536255341</v>
      </c>
      <c r="K58" s="33" t="n">
        <f aca="false">1/(1+$C$31)^(K35-0.5)</f>
        <v>0.707256841554311</v>
      </c>
      <c r="L58" s="33" t="n">
        <f aca="false">1/(1+$C$31)^(L35-0.5)</f>
        <v>0.664090931036911</v>
      </c>
      <c r="M58" s="33" t="n">
        <f aca="false">1/(1+$C$31)^(M35-0.5)</f>
        <v>0.623559559659072</v>
      </c>
      <c r="N58" s="33" t="n">
        <f aca="false">1/(1+$C$31)^(N35-0.5)</f>
        <v>0.58550193395218</v>
      </c>
      <c r="O58" s="33" t="n">
        <f aca="false">1/(1+$C$31)^(O35-0.5)</f>
        <v>0.549767074133503</v>
      </c>
      <c r="P58" s="33" t="n">
        <f aca="false">1/(1+$C$31)^(P35-0.5)</f>
        <v>0.516213215148829</v>
      </c>
      <c r="Q58" s="33" t="n">
        <f aca="false">1/(1+$C$31)^(Q35-0.5)</f>
        <v>0.484707244271201</v>
      </c>
      <c r="R58" s="33" t="n">
        <f aca="false">1/(1+$C$31)^(R35-0.5)</f>
        <v>0.455124173024602</v>
      </c>
      <c r="S58" s="33" t="n">
        <f aca="false">1/(1+$C$31)^(S35-0.5)</f>
        <v>0.427346641337654</v>
      </c>
      <c r="T58" s="33" t="n">
        <f aca="false">1/(1+$C$31)^(T35-0.5)</f>
        <v>0.401264451960239</v>
      </c>
      <c r="U58" s="33" t="n">
        <f aca="false">1/(1+$C$31)^(U35-0.5)</f>
        <v>0.376774133295999</v>
      </c>
      <c r="V58" s="33" t="n">
        <f aca="false">1/(1+$C$31)^(V35-0.5)</f>
        <v>0.353778528916431</v>
      </c>
      <c r="W58" s="33" t="n">
        <f aca="false">1/(1+$C$31)^(W35-0.5)</f>
        <v>0.332186412128104</v>
      </c>
      <c r="X58" s="33" t="n">
        <f aca="false">1/(1+$C$31)^(X35-0.5)</f>
        <v>0.311912124063947</v>
      </c>
      <c r="Y58" s="33" t="n">
        <f aca="false">1/(1+$C$31)^(Y35-0.5)</f>
        <v>0.292875233862861</v>
      </c>
      <c r="Z58" s="33" t="n">
        <f aca="false">1/(1+$C$31)^(Z35-0.5)</f>
        <v>0.275000219589541</v>
      </c>
      <c r="AA58" s="33" t="n">
        <f aca="false">1/(1+$C$31)^(AA35-0.5)</f>
        <v>0.258216168628677</v>
      </c>
      <c r="AB58" s="33" t="n">
        <f aca="false">1/(1+$C$31)^(AB35-0.5)</f>
        <v>0.242456496364955</v>
      </c>
      <c r="AC58" s="33" t="n">
        <f aca="false">1/(1+$C$31)^(AC35-0.5)</f>
        <v>0.227658682032822</v>
      </c>
    </row>
    <row r="59" customFormat="false" ht="15" hidden="false" customHeight="true" outlineLevel="0" collapsed="false">
      <c r="B59" s="5" t="s">
        <v>207</v>
      </c>
      <c r="C59" s="13" t="s">
        <v>165</v>
      </c>
      <c r="D59" s="31" t="n">
        <f aca="false">SUM(F59:AC59)</f>
        <v>927.738587925968</v>
      </c>
      <c r="F59" s="32" t="n">
        <f aca="false">F57*F58</f>
        <v>98.5666087867473</v>
      </c>
      <c r="G59" s="32" t="n">
        <f aca="false">G57*G58</f>
        <v>62.8291617134142</v>
      </c>
      <c r="H59" s="32" t="n">
        <f aca="false">H57*H58</f>
        <v>43.0259189800865</v>
      </c>
      <c r="I59" s="32" t="n">
        <f aca="false">I57*I58</f>
        <v>74.2201864942431</v>
      </c>
      <c r="J59" s="32" t="n">
        <f aca="false">J57*J58</f>
        <v>69.6903159570358</v>
      </c>
      <c r="K59" s="32" t="n">
        <f aca="false">K57*K58</f>
        <v>65.4369163915829</v>
      </c>
      <c r="L59" s="32" t="n">
        <f aca="false">L57*L58</f>
        <v>61.443113982707</v>
      </c>
      <c r="M59" s="32" t="n">
        <f aca="false">M57*M58</f>
        <v>57.6930647724948</v>
      </c>
      <c r="N59" s="32" t="n">
        <f aca="false">N57*N58</f>
        <v>54.1718918051595</v>
      </c>
      <c r="O59" s="32" t="n">
        <f aca="false">O57*O58</f>
        <v>50.865626108131</v>
      </c>
      <c r="P59" s="32" t="n">
        <f aca="false">P57*P58</f>
        <v>47.7611512752403</v>
      </c>
      <c r="Q59" s="32" t="n">
        <f aca="false">Q57*Q58</f>
        <v>44.8461514321506</v>
      </c>
      <c r="R59" s="32" t="n">
        <f aca="false">R57*R58</f>
        <v>42.1090623776062</v>
      </c>
      <c r="S59" s="32" t="n">
        <f aca="false">S57*S58</f>
        <v>39.5390257066724</v>
      </c>
      <c r="T59" s="32" t="n">
        <f aca="false">T57*T58</f>
        <v>37.1258457339647</v>
      </c>
      <c r="U59" s="32" t="n">
        <f aca="false">U57*U58</f>
        <v>34.8599490459763</v>
      </c>
      <c r="V59" s="32" t="n">
        <f aca="false">V57*V58</f>
        <v>32.7323465220435</v>
      </c>
      <c r="W59" s="32" t="n">
        <f aca="false">W57*W58</f>
        <v>30.7345976732803</v>
      </c>
      <c r="X59" s="32" t="n">
        <f aca="false">X57*X58</f>
        <v>28.8587771580096</v>
      </c>
      <c r="Y59" s="32" t="n">
        <f aca="false">Y57*Y58</f>
        <v>-15.7710976398328</v>
      </c>
      <c r="Z59" s="32" t="n">
        <f aca="false">Z57*Z58</f>
        <v>-33.0000263507449</v>
      </c>
      <c r="AA59" s="32" t="n">
        <f aca="false">AA57*AA58</f>
        <v>0</v>
      </c>
      <c r="AB59" s="32" t="n">
        <f aca="false">AB57*AB58</f>
        <v>0</v>
      </c>
      <c r="AC59" s="32" t="n">
        <f aca="false">AC57*AC58</f>
        <v>0</v>
      </c>
    </row>
    <row r="61" customFormat="false" ht="15" hidden="false" customHeight="true" outlineLevel="0" collapsed="false">
      <c r="B61" s="10" t="s">
        <v>208</v>
      </c>
      <c r="C61" s="11"/>
      <c r="D61" s="11"/>
    </row>
    <row r="62" customFormat="false" ht="15" hidden="false" customHeight="true" outlineLevel="0" collapsed="false">
      <c r="B62" s="5" t="s">
        <v>209</v>
      </c>
      <c r="C62" s="31" t="n">
        <f aca="false">SUM(F59:AC59)</f>
        <v>927.738587925968</v>
      </c>
      <c r="D62" s="13" t="s">
        <v>165</v>
      </c>
    </row>
    <row r="63" customFormat="false" ht="15" hidden="false" customHeight="true" outlineLevel="0" collapsed="false">
      <c r="B63" s="5" t="s">
        <v>210</v>
      </c>
      <c r="C63" s="34" t="n">
        <f aca="false">C62*$C$5</f>
        <v>927.738587925968</v>
      </c>
      <c r="D63" s="13" t="s">
        <v>165</v>
      </c>
    </row>
    <row r="64" customFormat="false" ht="15" hidden="false" customHeight="true" outlineLevel="0" collapsed="false">
      <c r="B64" s="5" t="s">
        <v>211</v>
      </c>
      <c r="C64" s="35" t="n">
        <f aca="false">COUNTIF(F40:AC40,"&gt;0")</f>
        <v>20</v>
      </c>
      <c r="D64" s="13" t="s">
        <v>168</v>
      </c>
    </row>
    <row r="65" customFormat="false" ht="15" hidden="false" customHeight="true" outlineLevel="0" collapsed="false">
      <c r="B65" s="5" t="s">
        <v>212</v>
      </c>
      <c r="C65" s="36" t="n">
        <f aca="false">IFERROR((-(F49+F50+F51+F53)-F46)/F43*1000,0)</f>
        <v>926.282447637867</v>
      </c>
      <c r="D65" s="13" t="s">
        <v>213</v>
      </c>
    </row>
    <row r="66" customFormat="false" ht="15" hidden="false" customHeight="true" outlineLevel="0" collapsed="false">
      <c r="B66" s="5" t="s">
        <v>214</v>
      </c>
      <c r="C66" s="36" t="n">
        <f aca="false">IFERROR((-(D49+D50+D51+D53)-D46)/D43*1000,0)</f>
        <v>1275.03472425742</v>
      </c>
      <c r="D66" s="13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3"/>
    <col collapsed="false" customWidth="true" hidden="false" outlineLevel="0" max="29" min="6" style="1" width="9"/>
  </cols>
  <sheetData>
    <row r="1" customFormat="false" ht="17.25" hidden="false" customHeight="true" outlineLevel="0" collapsed="false">
      <c r="B1" s="2" t="s">
        <v>215</v>
      </c>
    </row>
    <row r="2" customFormat="false" ht="15" hidden="false" customHeight="true" outlineLevel="0" collapsed="false">
      <c r="B2" s="3" t="s">
        <v>127</v>
      </c>
    </row>
    <row r="4" customFormat="false" ht="15" hidden="false" customHeight="true" outlineLevel="0" collapsed="false">
      <c r="B4" s="4" t="s">
        <v>128</v>
      </c>
      <c r="C4" s="4" t="s">
        <v>129</v>
      </c>
      <c r="D4" s="4" t="s">
        <v>130</v>
      </c>
      <c r="F4" s="5" t="s">
        <v>131</v>
      </c>
    </row>
    <row r="5" customFormat="false" ht="15" hidden="false" customHeight="true" outlineLevel="0" collapsed="false">
      <c r="B5" s="6" t="s">
        <v>132</v>
      </c>
      <c r="C5" s="23" t="n">
        <v>1</v>
      </c>
      <c r="D5" s="13" t="s">
        <v>133</v>
      </c>
      <c r="F5" s="13" t="s">
        <v>216</v>
      </c>
    </row>
    <row r="6" customFormat="false" ht="15" hidden="false" customHeight="true" outlineLevel="0" collapsed="false">
      <c r="B6" s="6" t="s">
        <v>135</v>
      </c>
      <c r="C6" s="15" t="n">
        <v>15.355</v>
      </c>
      <c r="D6" s="13" t="s">
        <v>136</v>
      </c>
      <c r="F6" s="13" t="s">
        <v>217</v>
      </c>
    </row>
    <row r="7" customFormat="false" ht="15" hidden="false" customHeight="true" outlineLevel="0" collapsed="false">
      <c r="B7" s="6" t="s">
        <v>138</v>
      </c>
      <c r="C7" s="15" t="n">
        <v>5</v>
      </c>
      <c r="D7" s="13" t="s">
        <v>136</v>
      </c>
      <c r="F7" s="13" t="s">
        <v>218</v>
      </c>
    </row>
    <row r="8" customFormat="false" ht="15" hidden="false" customHeight="true" outlineLevel="0" collapsed="false">
      <c r="B8" s="6" t="s">
        <v>140</v>
      </c>
      <c r="C8" s="25" t="n">
        <v>0</v>
      </c>
      <c r="D8" s="13" t="s">
        <v>141</v>
      </c>
    </row>
    <row r="9" customFormat="false" ht="15" hidden="false" customHeight="true" outlineLevel="0" collapsed="false">
      <c r="B9" s="6" t="s">
        <v>143</v>
      </c>
      <c r="C9" s="12" t="n">
        <v>1.02</v>
      </c>
      <c r="D9" s="13" t="s">
        <v>144</v>
      </c>
    </row>
    <row r="10" customFormat="false" ht="15" hidden="false" customHeight="true" outlineLevel="0" collapsed="false">
      <c r="B10" s="6" t="s">
        <v>146</v>
      </c>
      <c r="C10" s="23" t="n">
        <v>0</v>
      </c>
      <c r="D10" s="13" t="s">
        <v>133</v>
      </c>
    </row>
    <row r="11" customFormat="false" ht="15" hidden="false" customHeight="true" outlineLevel="0" collapsed="false">
      <c r="B11" s="6" t="s">
        <v>148</v>
      </c>
      <c r="C11" s="23" t="n">
        <v>0.78</v>
      </c>
      <c r="D11" s="13" t="s">
        <v>133</v>
      </c>
    </row>
    <row r="12" customFormat="false" ht="15" hidden="false" customHeight="true" outlineLevel="0" collapsed="false">
      <c r="B12" s="6" t="s">
        <v>150</v>
      </c>
      <c r="C12" s="23" t="n">
        <v>0</v>
      </c>
      <c r="D12" s="13" t="s">
        <v>133</v>
      </c>
    </row>
    <row r="13" customFormat="false" ht="15" hidden="false" customHeight="true" outlineLevel="0" collapsed="false">
      <c r="B13" s="6" t="s">
        <v>151</v>
      </c>
      <c r="C13" s="23" t="n">
        <v>0.999</v>
      </c>
      <c r="D13" s="13" t="s">
        <v>133</v>
      </c>
    </row>
    <row r="14" customFormat="false" ht="15" hidden="false" customHeight="true" outlineLevel="0" collapsed="false">
      <c r="B14" s="6" t="s">
        <v>152</v>
      </c>
      <c r="C14" s="12" t="n">
        <v>4.5</v>
      </c>
      <c r="D14" s="13" t="s">
        <v>153</v>
      </c>
    </row>
    <row r="15" customFormat="false" ht="15" hidden="false" customHeight="true" outlineLevel="0" collapsed="false">
      <c r="B15" s="6" t="s">
        <v>154</v>
      </c>
      <c r="C15" s="12" t="n">
        <v>4.5</v>
      </c>
      <c r="D15" s="13" t="s">
        <v>153</v>
      </c>
    </row>
    <row r="16" customFormat="false" ht="15" hidden="false" customHeight="true" outlineLevel="0" collapsed="false">
      <c r="B16" s="6" t="s">
        <v>155</v>
      </c>
      <c r="C16" s="22" t="n">
        <v>2027</v>
      </c>
      <c r="D16" s="13" t="s">
        <v>156</v>
      </c>
    </row>
    <row r="17" customFormat="false" ht="15" hidden="false" customHeight="true" outlineLevel="0" collapsed="false">
      <c r="B17" s="6" t="s">
        <v>157</v>
      </c>
      <c r="C17" s="22" t="n">
        <v>2027</v>
      </c>
      <c r="D17" s="13" t="s">
        <v>156</v>
      </c>
    </row>
    <row r="18" customFormat="false" ht="15" hidden="false" customHeight="true" outlineLevel="0" collapsed="false">
      <c r="B18" s="6" t="s">
        <v>158</v>
      </c>
      <c r="C18" s="12" t="n">
        <v>36</v>
      </c>
      <c r="D18" s="13" t="s">
        <v>159</v>
      </c>
    </row>
    <row r="19" customFormat="false" ht="15" hidden="false" customHeight="true" outlineLevel="0" collapsed="false">
      <c r="B19" s="6" t="s">
        <v>160</v>
      </c>
      <c r="C19" s="12" t="n">
        <v>0</v>
      </c>
      <c r="D19" s="13" t="s">
        <v>161</v>
      </c>
    </row>
    <row r="20" customFormat="false" ht="15" hidden="false" customHeight="true" outlineLevel="0" collapsed="false">
      <c r="B20" s="6" t="s">
        <v>162</v>
      </c>
      <c r="C20" s="24" t="n">
        <v>20</v>
      </c>
      <c r="D20" s="13" t="s">
        <v>163</v>
      </c>
    </row>
    <row r="21" customFormat="false" ht="15" hidden="false" customHeight="true" outlineLevel="0" collapsed="false">
      <c r="B21" s="6" t="s">
        <v>164</v>
      </c>
      <c r="C21" s="24" t="n">
        <v>0</v>
      </c>
      <c r="D21" s="13" t="s">
        <v>165</v>
      </c>
    </row>
    <row r="22" customFormat="false" ht="15" hidden="false" customHeight="true" outlineLevel="0" collapsed="false">
      <c r="B22" s="6" t="s">
        <v>166</v>
      </c>
      <c r="C22" s="22" t="n">
        <v>2027</v>
      </c>
      <c r="D22" s="13" t="s">
        <v>156</v>
      </c>
    </row>
    <row r="23" customFormat="false" ht="15" hidden="false" customHeight="true" outlineLevel="0" collapsed="false">
      <c r="B23" s="6" t="s">
        <v>167</v>
      </c>
      <c r="C23" s="22" t="n">
        <v>1</v>
      </c>
      <c r="D23" s="13" t="s">
        <v>168</v>
      </c>
    </row>
    <row r="24" customFormat="false" ht="15" hidden="false" customHeight="true" outlineLevel="0" collapsed="false">
      <c r="B24" s="6" t="s">
        <v>169</v>
      </c>
      <c r="C24" s="24" t="n">
        <v>40</v>
      </c>
      <c r="D24" s="13" t="s">
        <v>165</v>
      </c>
    </row>
    <row r="25" customFormat="false" ht="15" hidden="false" customHeight="true" outlineLevel="0" collapsed="false">
      <c r="B25" s="6" t="s">
        <v>170</v>
      </c>
      <c r="C25" s="25" t="n">
        <v>0.08</v>
      </c>
      <c r="D25" s="13" t="s">
        <v>171</v>
      </c>
    </row>
    <row r="26" customFormat="false" ht="15" hidden="false" customHeight="true" outlineLevel="0" collapsed="false">
      <c r="B26" s="6" t="s">
        <v>172</v>
      </c>
      <c r="C26" s="23" t="n">
        <v>0.25</v>
      </c>
      <c r="D26" s="13" t="s">
        <v>133</v>
      </c>
    </row>
    <row r="27" customFormat="false" ht="15" hidden="false" customHeight="true" outlineLevel="0" collapsed="false">
      <c r="B27" s="6" t="s">
        <v>173</v>
      </c>
      <c r="C27" s="25" t="n">
        <v>0</v>
      </c>
      <c r="D27" s="13" t="s">
        <v>174</v>
      </c>
    </row>
    <row r="28" customFormat="false" ht="15" hidden="false" customHeight="true" outlineLevel="0" collapsed="false">
      <c r="B28" s="6" t="s">
        <v>175</v>
      </c>
      <c r="C28" s="14" t="n">
        <v>0</v>
      </c>
      <c r="D28" s="13" t="s">
        <v>50</v>
      </c>
    </row>
    <row r="29" customFormat="false" ht="15" hidden="false" customHeight="true" outlineLevel="0" collapsed="false">
      <c r="B29" s="6" t="s">
        <v>176</v>
      </c>
      <c r="C29" s="25" t="n">
        <v>0</v>
      </c>
      <c r="D29" s="13" t="s">
        <v>177</v>
      </c>
    </row>
    <row r="30" customFormat="false" ht="15" hidden="false" customHeight="true" outlineLevel="0" collapsed="false">
      <c r="B30" s="6" t="s">
        <v>178</v>
      </c>
      <c r="C30" s="23" t="n">
        <v>0</v>
      </c>
      <c r="D30" s="13" t="s">
        <v>179</v>
      </c>
    </row>
    <row r="31" customFormat="false" ht="15" hidden="false" customHeight="true" outlineLevel="0" collapsed="false">
      <c r="B31" s="5" t="s">
        <v>66</v>
      </c>
      <c r="C31" s="26" t="n">
        <f aca="false">Inputs!$C$23</f>
        <v>0.05</v>
      </c>
      <c r="D31" s="13" t="s">
        <v>180</v>
      </c>
    </row>
    <row r="34" customFormat="false" ht="15" hidden="false" customHeight="true" outlineLevel="0" collapsed="false">
      <c r="B34" s="4" t="s">
        <v>181</v>
      </c>
      <c r="C34" s="4" t="s">
        <v>130</v>
      </c>
      <c r="D34" s="4" t="s">
        <v>182</v>
      </c>
      <c r="F34" s="4" t="n">
        <v>2027</v>
      </c>
      <c r="G34" s="4" t="n">
        <v>2028</v>
      </c>
      <c r="H34" s="4" t="n">
        <v>2029</v>
      </c>
      <c r="I34" s="4" t="n">
        <v>2030</v>
      </c>
      <c r="J34" s="4" t="n">
        <v>2031</v>
      </c>
      <c r="K34" s="4" t="n">
        <v>2032</v>
      </c>
      <c r="L34" s="4" t="n">
        <v>2033</v>
      </c>
      <c r="M34" s="4" t="n">
        <v>2034</v>
      </c>
      <c r="N34" s="4" t="n">
        <v>2035</v>
      </c>
      <c r="O34" s="4" t="n">
        <v>2036</v>
      </c>
      <c r="P34" s="4" t="n">
        <v>2037</v>
      </c>
      <c r="Q34" s="4" t="n">
        <v>2038</v>
      </c>
      <c r="R34" s="4" t="n">
        <v>2039</v>
      </c>
      <c r="S34" s="4" t="n">
        <v>2040</v>
      </c>
      <c r="T34" s="4" t="n">
        <v>2041</v>
      </c>
      <c r="U34" s="4" t="n">
        <v>2042</v>
      </c>
      <c r="V34" s="4" t="n">
        <v>2043</v>
      </c>
      <c r="W34" s="4" t="n">
        <v>2044</v>
      </c>
      <c r="X34" s="4" t="n">
        <v>2045</v>
      </c>
      <c r="Y34" s="4" t="n">
        <v>2046</v>
      </c>
      <c r="Z34" s="4" t="n">
        <v>2047</v>
      </c>
      <c r="AA34" s="4" t="n">
        <v>2048</v>
      </c>
      <c r="AB34" s="4" t="n">
        <v>2049</v>
      </c>
      <c r="AC34" s="4" t="n">
        <v>2050</v>
      </c>
    </row>
    <row r="35" customFormat="false" ht="15" hidden="false" customHeight="true" outlineLevel="0" collapsed="false">
      <c r="B35" s="6" t="s">
        <v>183</v>
      </c>
      <c r="C35" s="13"/>
      <c r="F35" s="27" t="n">
        <f aca="false">F$34-2027+1</f>
        <v>1</v>
      </c>
      <c r="G35" s="27" t="n">
        <f aca="false">G$34-2027+1</f>
        <v>2</v>
      </c>
      <c r="H35" s="27" t="n">
        <f aca="false">H$34-2027+1</f>
        <v>3</v>
      </c>
      <c r="I35" s="27" t="n">
        <f aca="false">I$34-2027+1</f>
        <v>4</v>
      </c>
      <c r="J35" s="27" t="n">
        <f aca="false">J$34-2027+1</f>
        <v>5</v>
      </c>
      <c r="K35" s="27" t="n">
        <f aca="false">K$34-2027+1</f>
        <v>6</v>
      </c>
      <c r="L35" s="27" t="n">
        <f aca="false">L$34-2027+1</f>
        <v>7</v>
      </c>
      <c r="M35" s="27" t="n">
        <f aca="false">M$34-2027+1</f>
        <v>8</v>
      </c>
      <c r="N35" s="27" t="n">
        <f aca="false">N$34-2027+1</f>
        <v>9</v>
      </c>
      <c r="O35" s="27" t="n">
        <f aca="false">O$34-2027+1</f>
        <v>10</v>
      </c>
      <c r="P35" s="27" t="n">
        <f aca="false">P$34-2027+1</f>
        <v>11</v>
      </c>
      <c r="Q35" s="27" t="n">
        <f aca="false">Q$34-2027+1</f>
        <v>12</v>
      </c>
      <c r="R35" s="27" t="n">
        <f aca="false">R$34-2027+1</f>
        <v>13</v>
      </c>
      <c r="S35" s="27" t="n">
        <f aca="false">S$34-2027+1</f>
        <v>14</v>
      </c>
      <c r="T35" s="27" t="n">
        <f aca="false">T$34-2027+1</f>
        <v>15</v>
      </c>
      <c r="U35" s="27" t="n">
        <f aca="false">U$34-2027+1</f>
        <v>16</v>
      </c>
      <c r="V35" s="27" t="n">
        <f aca="false">V$34-2027+1</f>
        <v>17</v>
      </c>
      <c r="W35" s="27" t="n">
        <f aca="false">W$34-2027+1</f>
        <v>18</v>
      </c>
      <c r="X35" s="27" t="n">
        <f aca="false">X$34-2027+1</f>
        <v>19</v>
      </c>
      <c r="Y35" s="27" t="n">
        <f aca="false">Y$34-2027+1</f>
        <v>20</v>
      </c>
      <c r="Z35" s="27" t="n">
        <f aca="false">Z$34-2027+1</f>
        <v>21</v>
      </c>
      <c r="AA35" s="27" t="n">
        <f aca="false">AA$34-2027+1</f>
        <v>22</v>
      </c>
      <c r="AB35" s="27" t="n">
        <f aca="false">AB$34-2027+1</f>
        <v>23</v>
      </c>
      <c r="AC35" s="27" t="n">
        <f aca="false">AC$34-2027+1</f>
        <v>24</v>
      </c>
    </row>
    <row r="36" customFormat="false" ht="15" hidden="false" customHeight="true" outlineLevel="0" collapsed="false">
      <c r="B36" s="6" t="s">
        <v>184</v>
      </c>
      <c r="C36" s="13" t="s">
        <v>47</v>
      </c>
      <c r="F36" s="28" t="n">
        <f aca="false">Inputs!F$18</f>
        <v>6</v>
      </c>
      <c r="G36" s="28" t="n">
        <f aca="false">Inputs!G$18</f>
        <v>5.5</v>
      </c>
      <c r="H36" s="28" t="n">
        <f aca="false">Inputs!H$18</f>
        <v>5</v>
      </c>
      <c r="I36" s="28" t="n">
        <f aca="false">Inputs!I$18</f>
        <v>5</v>
      </c>
      <c r="J36" s="28" t="n">
        <f aca="false">Inputs!J$18</f>
        <v>5</v>
      </c>
      <c r="K36" s="28" t="n">
        <f aca="false">Inputs!K$18</f>
        <v>5</v>
      </c>
      <c r="L36" s="28" t="n">
        <f aca="false">Inputs!L$18</f>
        <v>5</v>
      </c>
      <c r="M36" s="28" t="n">
        <f aca="false">Inputs!M$18</f>
        <v>5</v>
      </c>
      <c r="N36" s="28" t="n">
        <f aca="false">Inputs!N$18</f>
        <v>5</v>
      </c>
      <c r="O36" s="28" t="n">
        <f aca="false">Inputs!O$18</f>
        <v>5</v>
      </c>
      <c r="P36" s="28" t="n">
        <f aca="false">Inputs!P$18</f>
        <v>5</v>
      </c>
      <c r="Q36" s="28" t="n">
        <f aca="false">Inputs!Q$18</f>
        <v>5</v>
      </c>
      <c r="R36" s="28" t="n">
        <f aca="false">Inputs!R$18</f>
        <v>5</v>
      </c>
      <c r="S36" s="28" t="n">
        <f aca="false">Inputs!S$18</f>
        <v>5</v>
      </c>
      <c r="T36" s="28" t="n">
        <f aca="false">Inputs!T$18</f>
        <v>5</v>
      </c>
      <c r="U36" s="28" t="n">
        <f aca="false">Inputs!U$18</f>
        <v>5</v>
      </c>
      <c r="V36" s="28" t="n">
        <f aca="false">Inputs!V$18</f>
        <v>5</v>
      </c>
      <c r="W36" s="28" t="n">
        <f aca="false">Inputs!W$18</f>
        <v>5</v>
      </c>
      <c r="X36" s="28" t="n">
        <f aca="false">Inputs!X$18</f>
        <v>5</v>
      </c>
      <c r="Y36" s="28" t="n">
        <f aca="false">Inputs!Y$18</f>
        <v>5</v>
      </c>
      <c r="Z36" s="28" t="n">
        <f aca="false">Inputs!Z$18</f>
        <v>5</v>
      </c>
      <c r="AA36" s="28" t="n">
        <f aca="false">Inputs!AA$18</f>
        <v>5</v>
      </c>
      <c r="AB36" s="28" t="n">
        <f aca="false">Inputs!AB$18</f>
        <v>5</v>
      </c>
      <c r="AC36" s="28" t="n">
        <f aca="false">Inputs!AC$18</f>
        <v>5</v>
      </c>
    </row>
    <row r="37" customFormat="false" ht="15" hidden="false" customHeight="true" outlineLevel="0" collapsed="false">
      <c r="B37" s="6" t="s">
        <v>185</v>
      </c>
      <c r="C37" s="13" t="s">
        <v>50</v>
      </c>
      <c r="F37" s="29" t="n">
        <f aca="false">Inputs!F$19</f>
        <v>3900</v>
      </c>
      <c r="G37" s="29" t="n">
        <f aca="false">Inputs!G$19</f>
        <v>3600</v>
      </c>
      <c r="H37" s="29" t="n">
        <f aca="false">Inputs!H$19</f>
        <v>3300</v>
      </c>
      <c r="I37" s="29" t="n">
        <f aca="false">Inputs!I$19</f>
        <v>3300</v>
      </c>
      <c r="J37" s="29" t="n">
        <f aca="false">Inputs!J$19</f>
        <v>3300</v>
      </c>
      <c r="K37" s="29" t="n">
        <f aca="false">Inputs!K$19</f>
        <v>3300</v>
      </c>
      <c r="L37" s="29" t="n">
        <f aca="false">Inputs!L$19</f>
        <v>3300</v>
      </c>
      <c r="M37" s="29" t="n">
        <f aca="false">Inputs!M$19</f>
        <v>3300</v>
      </c>
      <c r="N37" s="29" t="n">
        <f aca="false">Inputs!N$19</f>
        <v>3300</v>
      </c>
      <c r="O37" s="29" t="n">
        <f aca="false">Inputs!O$19</f>
        <v>3300</v>
      </c>
      <c r="P37" s="29" t="n">
        <f aca="false">Inputs!P$19</f>
        <v>3300</v>
      </c>
      <c r="Q37" s="29" t="n">
        <f aca="false">Inputs!Q$19</f>
        <v>3300</v>
      </c>
      <c r="R37" s="29" t="n">
        <f aca="false">Inputs!R$19</f>
        <v>3300</v>
      </c>
      <c r="S37" s="29" t="n">
        <f aca="false">Inputs!S$19</f>
        <v>3300</v>
      </c>
      <c r="T37" s="29" t="n">
        <f aca="false">Inputs!T$19</f>
        <v>3300</v>
      </c>
      <c r="U37" s="29" t="n">
        <f aca="false">Inputs!U$19</f>
        <v>3300</v>
      </c>
      <c r="V37" s="29" t="n">
        <f aca="false">Inputs!V$19</f>
        <v>3300</v>
      </c>
      <c r="W37" s="29" t="n">
        <f aca="false">Inputs!W$19</f>
        <v>3300</v>
      </c>
      <c r="X37" s="29" t="n">
        <f aca="false">Inputs!X$19</f>
        <v>3300</v>
      </c>
      <c r="Y37" s="29" t="n">
        <f aca="false">Inputs!Y$19</f>
        <v>3300</v>
      </c>
      <c r="Z37" s="29" t="n">
        <f aca="false">Inputs!Z$19</f>
        <v>3300</v>
      </c>
      <c r="AA37" s="29" t="n">
        <f aca="false">Inputs!AA$19</f>
        <v>3300</v>
      </c>
      <c r="AB37" s="29" t="n">
        <f aca="false">Inputs!AB$19</f>
        <v>3300</v>
      </c>
      <c r="AC37" s="29" t="n">
        <f aca="false">Inputs!AC$19</f>
        <v>3300</v>
      </c>
    </row>
    <row r="38" customFormat="false" ht="15" hidden="false" customHeight="true" outlineLevel="0" collapsed="false">
      <c r="B38" s="6" t="s">
        <v>186</v>
      </c>
      <c r="C38" s="13" t="s">
        <v>136</v>
      </c>
      <c r="F38" s="19" t="n">
        <f aca="false">IF(F$34&lt;$C$17,0,IF(F$34&gt;=$C$16,$C$15,$C$14))</f>
        <v>4.5</v>
      </c>
      <c r="G38" s="19" t="n">
        <f aca="false">IF(G$34&lt;$C$17,0,IF(G$34&gt;=$C$16,$C$15,$C$14))</f>
        <v>4.5</v>
      </c>
      <c r="H38" s="19" t="n">
        <f aca="false">IF(H$34&lt;$C$17,0,IF(H$34&gt;=$C$16,$C$15,$C$14))</f>
        <v>4.5</v>
      </c>
      <c r="I38" s="19" t="n">
        <f aca="false">IF(I$34&lt;$C$17,0,IF(I$34&gt;=$C$16,$C$15,$C$14))</f>
        <v>4.5</v>
      </c>
      <c r="J38" s="19" t="n">
        <f aca="false">IF(J$34&lt;$C$17,0,IF(J$34&gt;=$C$16,$C$15,$C$14))</f>
        <v>4.5</v>
      </c>
      <c r="K38" s="19" t="n">
        <f aca="false">IF(K$34&lt;$C$17,0,IF(K$34&gt;=$C$16,$C$15,$C$14))</f>
        <v>4.5</v>
      </c>
      <c r="L38" s="19" t="n">
        <f aca="false">IF(L$34&lt;$C$17,0,IF(L$34&gt;=$C$16,$C$15,$C$14))</f>
        <v>4.5</v>
      </c>
      <c r="M38" s="19" t="n">
        <f aca="false">IF(M$34&lt;$C$17,0,IF(M$34&gt;=$C$16,$C$15,$C$14))</f>
        <v>4.5</v>
      </c>
      <c r="N38" s="19" t="n">
        <f aca="false">IF(N$34&lt;$C$17,0,IF(N$34&gt;=$C$16,$C$15,$C$14))</f>
        <v>4.5</v>
      </c>
      <c r="O38" s="19" t="n">
        <f aca="false">IF(O$34&lt;$C$17,0,IF(O$34&gt;=$C$16,$C$15,$C$14))</f>
        <v>4.5</v>
      </c>
      <c r="P38" s="19" t="n">
        <f aca="false">IF(P$34&lt;$C$17,0,IF(P$34&gt;=$C$16,$C$15,$C$14))</f>
        <v>4.5</v>
      </c>
      <c r="Q38" s="19" t="n">
        <f aca="false">IF(Q$34&lt;$C$17,0,IF(Q$34&gt;=$C$16,$C$15,$C$14))</f>
        <v>4.5</v>
      </c>
      <c r="R38" s="19" t="n">
        <f aca="false">IF(R$34&lt;$C$17,0,IF(R$34&gt;=$C$16,$C$15,$C$14))</f>
        <v>4.5</v>
      </c>
      <c r="S38" s="19" t="n">
        <f aca="false">IF(S$34&lt;$C$17,0,IF(S$34&gt;=$C$16,$C$15,$C$14))</f>
        <v>4.5</v>
      </c>
      <c r="T38" s="19" t="n">
        <f aca="false">IF(T$34&lt;$C$17,0,IF(T$34&gt;=$C$16,$C$15,$C$14))</f>
        <v>4.5</v>
      </c>
      <c r="U38" s="19" t="n">
        <f aca="false">IF(U$34&lt;$C$17,0,IF(U$34&gt;=$C$16,$C$15,$C$14))</f>
        <v>4.5</v>
      </c>
      <c r="V38" s="19" t="n">
        <f aca="false">IF(V$34&lt;$C$17,0,IF(V$34&gt;=$C$16,$C$15,$C$14))</f>
        <v>4.5</v>
      </c>
      <c r="W38" s="19" t="n">
        <f aca="false">IF(W$34&lt;$C$17,0,IF(W$34&gt;=$C$16,$C$15,$C$14))</f>
        <v>4.5</v>
      </c>
      <c r="X38" s="19" t="n">
        <f aca="false">IF(X$34&lt;$C$17,0,IF(X$34&gt;=$C$16,$C$15,$C$14))</f>
        <v>4.5</v>
      </c>
      <c r="Y38" s="19" t="n">
        <f aca="false">IF(Y$34&lt;$C$17,0,IF(Y$34&gt;=$C$16,$C$15,$C$14))</f>
        <v>4.5</v>
      </c>
      <c r="Z38" s="19" t="n">
        <f aca="false">IF(Z$34&lt;$C$17,0,IF(Z$34&gt;=$C$16,$C$15,$C$14))</f>
        <v>4.5</v>
      </c>
      <c r="AA38" s="19" t="n">
        <f aca="false">IF(AA$34&lt;$C$17,0,IF(AA$34&gt;=$C$16,$C$15,$C$14))</f>
        <v>4.5</v>
      </c>
      <c r="AB38" s="19" t="n">
        <f aca="false">IF(AB$34&lt;$C$17,0,IF(AB$34&gt;=$C$16,$C$15,$C$14))</f>
        <v>4.5</v>
      </c>
      <c r="AC38" s="19" t="n">
        <f aca="false">IF(AC$34&lt;$C$17,0,IF(AC$34&gt;=$C$16,$C$15,$C$14))</f>
        <v>4.5</v>
      </c>
    </row>
    <row r="39" customFormat="false" ht="15" hidden="false" customHeight="true" outlineLevel="0" collapsed="false">
      <c r="B39" s="6" t="s">
        <v>187</v>
      </c>
      <c r="C39" s="13" t="s">
        <v>136</v>
      </c>
      <c r="F39" s="30" t="n">
        <f aca="false">$C$6-$C$7</f>
        <v>10.355</v>
      </c>
      <c r="G39" s="30" t="n">
        <f aca="false">F41</f>
        <v>5.855</v>
      </c>
      <c r="H39" s="30" t="n">
        <f aca="false">G41</f>
        <v>1.355</v>
      </c>
      <c r="I39" s="30" t="n">
        <f aca="false">H41</f>
        <v>0</v>
      </c>
      <c r="J39" s="30" t="n">
        <f aca="false">I41</f>
        <v>0</v>
      </c>
      <c r="K39" s="30" t="n">
        <f aca="false">J41</f>
        <v>0</v>
      </c>
      <c r="L39" s="30" t="n">
        <f aca="false">K41</f>
        <v>0</v>
      </c>
      <c r="M39" s="30" t="n">
        <f aca="false">L41</f>
        <v>0</v>
      </c>
      <c r="N39" s="30" t="n">
        <f aca="false">M41</f>
        <v>0</v>
      </c>
      <c r="O39" s="30" t="n">
        <f aca="false">N41</f>
        <v>0</v>
      </c>
      <c r="P39" s="30" t="n">
        <f aca="false">O41</f>
        <v>0</v>
      </c>
      <c r="Q39" s="30" t="n">
        <f aca="false">P41</f>
        <v>0</v>
      </c>
      <c r="R39" s="30" t="n">
        <f aca="false">Q41</f>
        <v>0</v>
      </c>
      <c r="S39" s="30" t="n">
        <f aca="false">R41</f>
        <v>0</v>
      </c>
      <c r="T39" s="30" t="n">
        <f aca="false">S41</f>
        <v>0</v>
      </c>
      <c r="U39" s="30" t="n">
        <f aca="false">T41</f>
        <v>0</v>
      </c>
      <c r="V39" s="30" t="n">
        <f aca="false">U41</f>
        <v>0</v>
      </c>
      <c r="W39" s="30" t="n">
        <f aca="false">V41</f>
        <v>0</v>
      </c>
      <c r="X39" s="30" t="n">
        <f aca="false">W41</f>
        <v>0</v>
      </c>
      <c r="Y39" s="30" t="n">
        <f aca="false">X41</f>
        <v>0</v>
      </c>
      <c r="Z39" s="30" t="n">
        <f aca="false">Y41</f>
        <v>0</v>
      </c>
      <c r="AA39" s="30" t="n">
        <f aca="false">Z41</f>
        <v>0</v>
      </c>
      <c r="AB39" s="30" t="n">
        <f aca="false">AA41</f>
        <v>0</v>
      </c>
      <c r="AC39" s="30" t="n">
        <f aca="false">AB41</f>
        <v>0</v>
      </c>
    </row>
    <row r="40" customFormat="false" ht="15" hidden="false" customHeight="true" outlineLevel="0" collapsed="false">
      <c r="B40" s="6" t="s">
        <v>188</v>
      </c>
      <c r="C40" s="13" t="s">
        <v>136</v>
      </c>
      <c r="D40" s="19" t="n">
        <f aca="false">SUM(F40:AC40)</f>
        <v>10.355</v>
      </c>
      <c r="F40" s="19" t="n">
        <f aca="false">MAX(0,MIN(F38,F39))</f>
        <v>4.5</v>
      </c>
      <c r="G40" s="19" t="n">
        <f aca="false">MAX(0,MIN(G38,G39))</f>
        <v>4.5</v>
      </c>
      <c r="H40" s="19" t="n">
        <f aca="false">MAX(0,MIN(H38,H39))</f>
        <v>1.355</v>
      </c>
      <c r="I40" s="19" t="n">
        <f aca="false">MAX(0,MIN(I38,I39))</f>
        <v>0</v>
      </c>
      <c r="J40" s="19" t="n">
        <f aca="false">MAX(0,MIN(J38,J39))</f>
        <v>0</v>
      </c>
      <c r="K40" s="19" t="n">
        <f aca="false">MAX(0,MIN(K38,K39))</f>
        <v>0</v>
      </c>
      <c r="L40" s="19" t="n">
        <f aca="false">MAX(0,MIN(L38,L39))</f>
        <v>0</v>
      </c>
      <c r="M40" s="19" t="n">
        <f aca="false">MAX(0,MIN(M38,M39))</f>
        <v>0</v>
      </c>
      <c r="N40" s="19" t="n">
        <f aca="false">MAX(0,MIN(N38,N39))</f>
        <v>0</v>
      </c>
      <c r="O40" s="19" t="n">
        <f aca="false">MAX(0,MIN(O38,O39))</f>
        <v>0</v>
      </c>
      <c r="P40" s="19" t="n">
        <f aca="false">MAX(0,MIN(P38,P39))</f>
        <v>0</v>
      </c>
      <c r="Q40" s="19" t="n">
        <f aca="false">MAX(0,MIN(Q38,Q39))</f>
        <v>0</v>
      </c>
      <c r="R40" s="19" t="n">
        <f aca="false">MAX(0,MIN(R38,R39))</f>
        <v>0</v>
      </c>
      <c r="S40" s="19" t="n">
        <f aca="false">MAX(0,MIN(S38,S39))</f>
        <v>0</v>
      </c>
      <c r="T40" s="19" t="n">
        <f aca="false">MAX(0,MIN(T38,T39))</f>
        <v>0</v>
      </c>
      <c r="U40" s="19" t="n">
        <f aca="false">MAX(0,MIN(U38,U39))</f>
        <v>0</v>
      </c>
      <c r="V40" s="19" t="n">
        <f aca="false">MAX(0,MIN(V38,V39))</f>
        <v>0</v>
      </c>
      <c r="W40" s="19" t="n">
        <f aca="false">MAX(0,MIN(W38,W39))</f>
        <v>0</v>
      </c>
      <c r="X40" s="19" t="n">
        <f aca="false">MAX(0,MIN(X38,X39))</f>
        <v>0</v>
      </c>
      <c r="Y40" s="19" t="n">
        <f aca="false">MAX(0,MIN(Y38,Y39))</f>
        <v>0</v>
      </c>
      <c r="Z40" s="19" t="n">
        <f aca="false">MAX(0,MIN(Z38,Z39))</f>
        <v>0</v>
      </c>
      <c r="AA40" s="19" t="n">
        <f aca="false">MAX(0,MIN(AA38,AA39))</f>
        <v>0</v>
      </c>
      <c r="AB40" s="19" t="n">
        <f aca="false">MAX(0,MIN(AB38,AB39))</f>
        <v>0</v>
      </c>
      <c r="AC40" s="19" t="n">
        <f aca="false">MAX(0,MIN(AC38,AC39))</f>
        <v>0</v>
      </c>
    </row>
    <row r="41" customFormat="false" ht="15" hidden="false" customHeight="true" outlineLevel="0" collapsed="false">
      <c r="B41" s="6" t="s">
        <v>189</v>
      </c>
      <c r="C41" s="13" t="s">
        <v>136</v>
      </c>
      <c r="F41" s="30" t="n">
        <f aca="false">F39-F40</f>
        <v>5.855</v>
      </c>
      <c r="G41" s="30" t="n">
        <f aca="false">G39-G40</f>
        <v>1.355</v>
      </c>
      <c r="H41" s="30" t="n">
        <f aca="false">H39-H40</f>
        <v>0</v>
      </c>
      <c r="I41" s="30" t="n">
        <f aca="false">I39-I40</f>
        <v>0</v>
      </c>
      <c r="J41" s="30" t="n">
        <f aca="false">J39-J40</f>
        <v>0</v>
      </c>
      <c r="K41" s="30" t="n">
        <f aca="false">K39-K40</f>
        <v>0</v>
      </c>
      <c r="L41" s="30" t="n">
        <f aca="false">L39-L40</f>
        <v>0</v>
      </c>
      <c r="M41" s="30" t="n">
        <f aca="false">M39-M40</f>
        <v>0</v>
      </c>
      <c r="N41" s="30" t="n">
        <f aca="false">N39-N40</f>
        <v>0</v>
      </c>
      <c r="O41" s="30" t="n">
        <f aca="false">O39-O40</f>
        <v>0</v>
      </c>
      <c r="P41" s="30" t="n">
        <f aca="false">P39-P40</f>
        <v>0</v>
      </c>
      <c r="Q41" s="30" t="n">
        <f aca="false">Q39-Q40</f>
        <v>0</v>
      </c>
      <c r="R41" s="30" t="n">
        <f aca="false">R39-R40</f>
        <v>0</v>
      </c>
      <c r="S41" s="30" t="n">
        <f aca="false">S39-S40</f>
        <v>0</v>
      </c>
      <c r="T41" s="30" t="n">
        <f aca="false">T39-T40</f>
        <v>0</v>
      </c>
      <c r="U41" s="30" t="n">
        <f aca="false">U39-U40</f>
        <v>0</v>
      </c>
      <c r="V41" s="30" t="n">
        <f aca="false">V39-V40</f>
        <v>0</v>
      </c>
      <c r="W41" s="30" t="n">
        <f aca="false">W39-W40</f>
        <v>0</v>
      </c>
      <c r="X41" s="30" t="n">
        <f aca="false">X39-X40</f>
        <v>0</v>
      </c>
      <c r="Y41" s="30" t="n">
        <f aca="false">Y39-Y40</f>
        <v>0</v>
      </c>
      <c r="Z41" s="30" t="n">
        <f aca="false">Z39-Z40</f>
        <v>0</v>
      </c>
      <c r="AA41" s="30" t="n">
        <f aca="false">AA39-AA40</f>
        <v>0</v>
      </c>
      <c r="AB41" s="30" t="n">
        <f aca="false">AB39-AB40</f>
        <v>0</v>
      </c>
      <c r="AC41" s="30" t="n">
        <f aca="false">AC39-AC40</f>
        <v>0</v>
      </c>
    </row>
    <row r="42" customFormat="false" ht="15" hidden="false" customHeight="true" outlineLevel="0" collapsed="false">
      <c r="B42" s="6" t="s">
        <v>190</v>
      </c>
      <c r="C42" s="13" t="s">
        <v>191</v>
      </c>
      <c r="D42" s="30" t="n">
        <f aca="false">SUM(F42:AC42)</f>
        <v>0</v>
      </c>
      <c r="F42" s="30" t="n">
        <f aca="false">F40*$C$8*$C$10*$C$12*2204.62</f>
        <v>0</v>
      </c>
      <c r="G42" s="30" t="n">
        <f aca="false">G40*$C$8*$C$10*$C$12*2204.62</f>
        <v>0</v>
      </c>
      <c r="H42" s="30" t="n">
        <f aca="false">H40*$C$8*$C$10*$C$12*2204.62</f>
        <v>0</v>
      </c>
      <c r="I42" s="30" t="n">
        <f aca="false">I40*$C$8*$C$10*$C$12*2204.62</f>
        <v>0</v>
      </c>
      <c r="J42" s="30" t="n">
        <f aca="false">J40*$C$8*$C$10*$C$12*2204.62</f>
        <v>0</v>
      </c>
      <c r="K42" s="30" t="n">
        <f aca="false">K40*$C$8*$C$10*$C$12*2204.62</f>
        <v>0</v>
      </c>
      <c r="L42" s="30" t="n">
        <f aca="false">L40*$C$8*$C$10*$C$12*2204.62</f>
        <v>0</v>
      </c>
      <c r="M42" s="30" t="n">
        <f aca="false">M40*$C$8*$C$10*$C$12*2204.62</f>
        <v>0</v>
      </c>
      <c r="N42" s="30" t="n">
        <f aca="false">N40*$C$8*$C$10*$C$12*2204.62</f>
        <v>0</v>
      </c>
      <c r="O42" s="30" t="n">
        <f aca="false">O40*$C$8*$C$10*$C$12*2204.62</f>
        <v>0</v>
      </c>
      <c r="P42" s="30" t="n">
        <f aca="false">P40*$C$8*$C$10*$C$12*2204.62</f>
        <v>0</v>
      </c>
      <c r="Q42" s="30" t="n">
        <f aca="false">Q40*$C$8*$C$10*$C$12*2204.62</f>
        <v>0</v>
      </c>
      <c r="R42" s="30" t="n">
        <f aca="false">R40*$C$8*$C$10*$C$12*2204.62</f>
        <v>0</v>
      </c>
      <c r="S42" s="30" t="n">
        <f aca="false">S40*$C$8*$C$10*$C$12*2204.62</f>
        <v>0</v>
      </c>
      <c r="T42" s="30" t="n">
        <f aca="false">T40*$C$8*$C$10*$C$12*2204.62</f>
        <v>0</v>
      </c>
      <c r="U42" s="30" t="n">
        <f aca="false">U40*$C$8*$C$10*$C$12*2204.62</f>
        <v>0</v>
      </c>
      <c r="V42" s="30" t="n">
        <f aca="false">V40*$C$8*$C$10*$C$12*2204.62</f>
        <v>0</v>
      </c>
      <c r="W42" s="30" t="n">
        <f aca="false">W40*$C$8*$C$10*$C$12*2204.62</f>
        <v>0</v>
      </c>
      <c r="X42" s="30" t="n">
        <f aca="false">X40*$C$8*$C$10*$C$12*2204.62</f>
        <v>0</v>
      </c>
      <c r="Y42" s="30" t="n">
        <f aca="false">Y40*$C$8*$C$10*$C$12*2204.62</f>
        <v>0</v>
      </c>
      <c r="Z42" s="30" t="n">
        <f aca="false">Z40*$C$8*$C$10*$C$12*2204.62</f>
        <v>0</v>
      </c>
      <c r="AA42" s="30" t="n">
        <f aca="false">AA40*$C$8*$C$10*$C$12*2204.62</f>
        <v>0</v>
      </c>
      <c r="AB42" s="30" t="n">
        <f aca="false">AB40*$C$8*$C$10*$C$12*2204.62</f>
        <v>0</v>
      </c>
      <c r="AC42" s="30" t="n">
        <f aca="false">AC40*$C$8*$C$10*$C$12*2204.62</f>
        <v>0</v>
      </c>
    </row>
    <row r="43" customFormat="false" ht="15" hidden="false" customHeight="true" outlineLevel="0" collapsed="false">
      <c r="B43" s="6" t="s">
        <v>192</v>
      </c>
      <c r="C43" s="13" t="s">
        <v>193</v>
      </c>
      <c r="D43" s="30" t="n">
        <f aca="false">SUM(F43:AC43)</f>
        <v>264.606862957545</v>
      </c>
      <c r="F43" s="30" t="n">
        <f aca="false">F40*$C$9*$C$11*$C$13*1000/31.1035</f>
        <v>114.990910990725</v>
      </c>
      <c r="G43" s="30" t="n">
        <f aca="false">G40*$C$9*$C$11*$C$13*1000/31.1035</f>
        <v>114.990910990725</v>
      </c>
      <c r="H43" s="30" t="n">
        <f aca="false">H40*$C$9*$C$11*$C$13*1000/31.1035</f>
        <v>34.625040976096</v>
      </c>
      <c r="I43" s="30" t="n">
        <f aca="false">I40*$C$9*$C$11*$C$13*1000/31.1035</f>
        <v>0</v>
      </c>
      <c r="J43" s="30" t="n">
        <f aca="false">J40*$C$9*$C$11*$C$13*1000/31.1035</f>
        <v>0</v>
      </c>
      <c r="K43" s="30" t="n">
        <f aca="false">K40*$C$9*$C$11*$C$13*1000/31.1035</f>
        <v>0</v>
      </c>
      <c r="L43" s="30" t="n">
        <f aca="false">L40*$C$9*$C$11*$C$13*1000/31.1035</f>
        <v>0</v>
      </c>
      <c r="M43" s="30" t="n">
        <f aca="false">M40*$C$9*$C$11*$C$13*1000/31.1035</f>
        <v>0</v>
      </c>
      <c r="N43" s="30" t="n">
        <f aca="false">N40*$C$9*$C$11*$C$13*1000/31.1035</f>
        <v>0</v>
      </c>
      <c r="O43" s="30" t="n">
        <f aca="false">O40*$C$9*$C$11*$C$13*1000/31.1035</f>
        <v>0</v>
      </c>
      <c r="P43" s="30" t="n">
        <f aca="false">P40*$C$9*$C$11*$C$13*1000/31.1035</f>
        <v>0</v>
      </c>
      <c r="Q43" s="30" t="n">
        <f aca="false">Q40*$C$9*$C$11*$C$13*1000/31.1035</f>
        <v>0</v>
      </c>
      <c r="R43" s="30" t="n">
        <f aca="false">R40*$C$9*$C$11*$C$13*1000/31.1035</f>
        <v>0</v>
      </c>
      <c r="S43" s="30" t="n">
        <f aca="false">S40*$C$9*$C$11*$C$13*1000/31.1035</f>
        <v>0</v>
      </c>
      <c r="T43" s="30" t="n">
        <f aca="false">T40*$C$9*$C$11*$C$13*1000/31.1035</f>
        <v>0</v>
      </c>
      <c r="U43" s="30" t="n">
        <f aca="false">U40*$C$9*$C$11*$C$13*1000/31.1035</f>
        <v>0</v>
      </c>
      <c r="V43" s="30" t="n">
        <f aca="false">V40*$C$9*$C$11*$C$13*1000/31.1035</f>
        <v>0</v>
      </c>
      <c r="W43" s="30" t="n">
        <f aca="false">W40*$C$9*$C$11*$C$13*1000/31.1035</f>
        <v>0</v>
      </c>
      <c r="X43" s="30" t="n">
        <f aca="false">X40*$C$9*$C$11*$C$13*1000/31.1035</f>
        <v>0</v>
      </c>
      <c r="Y43" s="30" t="n">
        <f aca="false">Y40*$C$9*$C$11*$C$13*1000/31.1035</f>
        <v>0</v>
      </c>
      <c r="Z43" s="30" t="n">
        <f aca="false">Z40*$C$9*$C$11*$C$13*1000/31.1035</f>
        <v>0</v>
      </c>
      <c r="AA43" s="30" t="n">
        <f aca="false">AA40*$C$9*$C$11*$C$13*1000/31.1035</f>
        <v>0</v>
      </c>
      <c r="AB43" s="30" t="n">
        <f aca="false">AB40*$C$9*$C$11*$C$13*1000/31.1035</f>
        <v>0</v>
      </c>
      <c r="AC43" s="30" t="n">
        <f aca="false">AC40*$C$9*$C$11*$C$13*1000/31.1035</f>
        <v>0</v>
      </c>
    </row>
    <row r="44" customFormat="false" ht="15" hidden="false" customHeight="true" outlineLevel="0" collapsed="false">
      <c r="B44" s="6" t="s">
        <v>194</v>
      </c>
      <c r="C44" s="13" t="s">
        <v>47</v>
      </c>
      <c r="F44" s="19" t="n">
        <f aca="false">F36*(1-$C$29)+F36*$C$29*$C$30</f>
        <v>6</v>
      </c>
      <c r="G44" s="19" t="n">
        <f aca="false">G36*(1-$C$29)+G36*$C$29*$C$30</f>
        <v>5.5</v>
      </c>
      <c r="H44" s="19" t="n">
        <f aca="false">H36*(1-$C$29)+H36*$C$29*$C$30</f>
        <v>5</v>
      </c>
      <c r="I44" s="19" t="n">
        <f aca="false">I36*(1-$C$29)+I36*$C$29*$C$30</f>
        <v>5</v>
      </c>
      <c r="J44" s="19" t="n">
        <f aca="false">J36*(1-$C$29)+J36*$C$29*$C$30</f>
        <v>5</v>
      </c>
      <c r="K44" s="19" t="n">
        <f aca="false">K36*(1-$C$29)+K36*$C$29*$C$30</f>
        <v>5</v>
      </c>
      <c r="L44" s="19" t="n">
        <f aca="false">L36*(1-$C$29)+L36*$C$29*$C$30</f>
        <v>5</v>
      </c>
      <c r="M44" s="19" t="n">
        <f aca="false">M36*(1-$C$29)+M36*$C$29*$C$30</f>
        <v>5</v>
      </c>
      <c r="N44" s="19" t="n">
        <f aca="false">N36*(1-$C$29)+N36*$C$29*$C$30</f>
        <v>5</v>
      </c>
      <c r="O44" s="19" t="n">
        <f aca="false">O36*(1-$C$29)+O36*$C$29*$C$30</f>
        <v>5</v>
      </c>
      <c r="P44" s="19" t="n">
        <f aca="false">P36*(1-$C$29)+P36*$C$29*$C$30</f>
        <v>5</v>
      </c>
      <c r="Q44" s="19" t="n">
        <f aca="false">Q36*(1-$C$29)+Q36*$C$29*$C$30</f>
        <v>5</v>
      </c>
      <c r="R44" s="19" t="n">
        <f aca="false">R36*(1-$C$29)+R36*$C$29*$C$30</f>
        <v>5</v>
      </c>
      <c r="S44" s="19" t="n">
        <f aca="false">S36*(1-$C$29)+S36*$C$29*$C$30</f>
        <v>5</v>
      </c>
      <c r="T44" s="19" t="n">
        <f aca="false">T36*(1-$C$29)+T36*$C$29*$C$30</f>
        <v>5</v>
      </c>
      <c r="U44" s="19" t="n">
        <f aca="false">U36*(1-$C$29)+U36*$C$29*$C$30</f>
        <v>5</v>
      </c>
      <c r="V44" s="19" t="n">
        <f aca="false">V36*(1-$C$29)+V36*$C$29*$C$30</f>
        <v>5</v>
      </c>
      <c r="W44" s="19" t="n">
        <f aca="false">W36*(1-$C$29)+W36*$C$29*$C$30</f>
        <v>5</v>
      </c>
      <c r="X44" s="19" t="n">
        <f aca="false">X36*(1-$C$29)+X36*$C$29*$C$30</f>
        <v>5</v>
      </c>
      <c r="Y44" s="19" t="n">
        <f aca="false">Y36*(1-$C$29)+Y36*$C$29*$C$30</f>
        <v>5</v>
      </c>
      <c r="Z44" s="19" t="n">
        <f aca="false">Z36*(1-$C$29)+Z36*$C$29*$C$30</f>
        <v>5</v>
      </c>
      <c r="AA44" s="19" t="n">
        <f aca="false">AA36*(1-$C$29)+AA36*$C$29*$C$30</f>
        <v>5</v>
      </c>
      <c r="AB44" s="19" t="n">
        <f aca="false">AB36*(1-$C$29)+AB36*$C$29*$C$30</f>
        <v>5</v>
      </c>
      <c r="AC44" s="19" t="n">
        <f aca="false">AC36*(1-$C$29)+AC36*$C$29*$C$30</f>
        <v>5</v>
      </c>
    </row>
    <row r="45" customFormat="false" ht="15" hidden="false" customHeight="true" outlineLevel="0" collapsed="false">
      <c r="B45" s="6" t="s">
        <v>195</v>
      </c>
      <c r="C45" s="13" t="s">
        <v>50</v>
      </c>
      <c r="F45" s="20" t="n">
        <f aca="false">F37*(1-$C$27)+$C$27*$C$28</f>
        <v>3900</v>
      </c>
      <c r="G45" s="20" t="n">
        <f aca="false">G37*(1-$C$27)+$C$27*$C$28</f>
        <v>3600</v>
      </c>
      <c r="H45" s="20" t="n">
        <f aca="false">H37*(1-$C$27)+$C$27*$C$28</f>
        <v>3300</v>
      </c>
      <c r="I45" s="20" t="n">
        <f aca="false">I37*(1-$C$27)+$C$27*$C$28</f>
        <v>3300</v>
      </c>
      <c r="J45" s="20" t="n">
        <f aca="false">J37*(1-$C$27)+$C$27*$C$28</f>
        <v>3300</v>
      </c>
      <c r="K45" s="20" t="n">
        <f aca="false">K37*(1-$C$27)+$C$27*$C$28</f>
        <v>3300</v>
      </c>
      <c r="L45" s="20" t="n">
        <f aca="false">L37*(1-$C$27)+$C$27*$C$28</f>
        <v>3300</v>
      </c>
      <c r="M45" s="20" t="n">
        <f aca="false">M37*(1-$C$27)+$C$27*$C$28</f>
        <v>3300</v>
      </c>
      <c r="N45" s="20" t="n">
        <f aca="false">N37*(1-$C$27)+$C$27*$C$28</f>
        <v>3300</v>
      </c>
      <c r="O45" s="20" t="n">
        <f aca="false">O37*(1-$C$27)+$C$27*$C$28</f>
        <v>3300</v>
      </c>
      <c r="P45" s="20" t="n">
        <f aca="false">P37*(1-$C$27)+$C$27*$C$28</f>
        <v>3300</v>
      </c>
      <c r="Q45" s="20" t="n">
        <f aca="false">Q37*(1-$C$27)+$C$27*$C$28</f>
        <v>3300</v>
      </c>
      <c r="R45" s="20" t="n">
        <f aca="false">R37*(1-$C$27)+$C$27*$C$28</f>
        <v>3300</v>
      </c>
      <c r="S45" s="20" t="n">
        <f aca="false">S37*(1-$C$27)+$C$27*$C$28</f>
        <v>3300</v>
      </c>
      <c r="T45" s="20" t="n">
        <f aca="false">T37*(1-$C$27)+$C$27*$C$28</f>
        <v>3300</v>
      </c>
      <c r="U45" s="20" t="n">
        <f aca="false">U37*(1-$C$27)+$C$27*$C$28</f>
        <v>3300</v>
      </c>
      <c r="V45" s="20" t="n">
        <f aca="false">V37*(1-$C$27)+$C$27*$C$28</f>
        <v>3300</v>
      </c>
      <c r="W45" s="20" t="n">
        <f aca="false">W37*(1-$C$27)+$C$27*$C$28</f>
        <v>3300</v>
      </c>
      <c r="X45" s="20" t="n">
        <f aca="false">X37*(1-$C$27)+$C$27*$C$28</f>
        <v>3300</v>
      </c>
      <c r="Y45" s="20" t="n">
        <f aca="false">Y37*(1-$C$27)+$C$27*$C$28</f>
        <v>3300</v>
      </c>
      <c r="Z45" s="20" t="n">
        <f aca="false">Z37*(1-$C$27)+$C$27*$C$28</f>
        <v>3300</v>
      </c>
      <c r="AA45" s="20" t="n">
        <f aca="false">AA37*(1-$C$27)+$C$27*$C$28</f>
        <v>3300</v>
      </c>
      <c r="AB45" s="20" t="n">
        <f aca="false">AB37*(1-$C$27)+$C$27*$C$28</f>
        <v>3300</v>
      </c>
      <c r="AC45" s="20" t="n">
        <f aca="false">AC37*(1-$C$27)+$C$27*$C$28</f>
        <v>3300</v>
      </c>
    </row>
    <row r="46" customFormat="false" ht="15" hidden="false" customHeight="true" outlineLevel="0" collapsed="false">
      <c r="B46" s="6" t="s">
        <v>196</v>
      </c>
      <c r="C46" s="13" t="s">
        <v>165</v>
      </c>
      <c r="D46" s="30" t="n">
        <f aca="false">SUM(F46:AC46)</f>
        <v>0</v>
      </c>
      <c r="F46" s="30" t="n">
        <f aca="false">F42*F44</f>
        <v>0</v>
      </c>
      <c r="G46" s="30" t="n">
        <f aca="false">G42*G44</f>
        <v>0</v>
      </c>
      <c r="H46" s="30" t="n">
        <f aca="false">H42*H44</f>
        <v>0</v>
      </c>
      <c r="I46" s="30" t="n">
        <f aca="false">I42*I44</f>
        <v>0</v>
      </c>
      <c r="J46" s="30" t="n">
        <f aca="false">J42*J44</f>
        <v>0</v>
      </c>
      <c r="K46" s="30" t="n">
        <f aca="false">K42*K44</f>
        <v>0</v>
      </c>
      <c r="L46" s="30" t="n">
        <f aca="false">L42*L44</f>
        <v>0</v>
      </c>
      <c r="M46" s="30" t="n">
        <f aca="false">M42*M44</f>
        <v>0</v>
      </c>
      <c r="N46" s="30" t="n">
        <f aca="false">N42*N44</f>
        <v>0</v>
      </c>
      <c r="O46" s="30" t="n">
        <f aca="false">O42*O44</f>
        <v>0</v>
      </c>
      <c r="P46" s="30" t="n">
        <f aca="false">P42*P44</f>
        <v>0</v>
      </c>
      <c r="Q46" s="30" t="n">
        <f aca="false">Q42*Q44</f>
        <v>0</v>
      </c>
      <c r="R46" s="30" t="n">
        <f aca="false">R42*R44</f>
        <v>0</v>
      </c>
      <c r="S46" s="30" t="n">
        <f aca="false">S42*S44</f>
        <v>0</v>
      </c>
      <c r="T46" s="30" t="n">
        <f aca="false">T42*T44</f>
        <v>0</v>
      </c>
      <c r="U46" s="30" t="n">
        <f aca="false">U42*U44</f>
        <v>0</v>
      </c>
      <c r="V46" s="30" t="n">
        <f aca="false">V42*V44</f>
        <v>0</v>
      </c>
      <c r="W46" s="30" t="n">
        <f aca="false">W42*W44</f>
        <v>0</v>
      </c>
      <c r="X46" s="30" t="n">
        <f aca="false">X42*X44</f>
        <v>0</v>
      </c>
      <c r="Y46" s="30" t="n">
        <f aca="false">Y42*Y44</f>
        <v>0</v>
      </c>
      <c r="Z46" s="30" t="n">
        <f aca="false">Z42*Z44</f>
        <v>0</v>
      </c>
      <c r="AA46" s="30" t="n">
        <f aca="false">AA42*AA44</f>
        <v>0</v>
      </c>
      <c r="AB46" s="30" t="n">
        <f aca="false">AB42*AB44</f>
        <v>0</v>
      </c>
      <c r="AC46" s="30" t="n">
        <f aca="false">AC42*AC44</f>
        <v>0</v>
      </c>
    </row>
    <row r="47" customFormat="false" ht="15" hidden="false" customHeight="true" outlineLevel="0" collapsed="false">
      <c r="B47" s="6" t="s">
        <v>197</v>
      </c>
      <c r="C47" s="13" t="s">
        <v>165</v>
      </c>
      <c r="D47" s="30" t="n">
        <f aca="false">SUM(F47:AC47)</f>
        <v>976.694467651551</v>
      </c>
      <c r="F47" s="30" t="n">
        <f aca="false">F43*F45/1000</f>
        <v>448.464552863826</v>
      </c>
      <c r="G47" s="30" t="n">
        <f aca="false">G43*G45/1000</f>
        <v>413.967279566608</v>
      </c>
      <c r="H47" s="30" t="n">
        <f aca="false">H43*H45/1000</f>
        <v>114.262635221117</v>
      </c>
      <c r="I47" s="30" t="n">
        <f aca="false">I43*I45/1000</f>
        <v>0</v>
      </c>
      <c r="J47" s="30" t="n">
        <f aca="false">J43*J45/1000</f>
        <v>0</v>
      </c>
      <c r="K47" s="30" t="n">
        <f aca="false">K43*K45/1000</f>
        <v>0</v>
      </c>
      <c r="L47" s="30" t="n">
        <f aca="false">L43*L45/1000</f>
        <v>0</v>
      </c>
      <c r="M47" s="30" t="n">
        <f aca="false">M43*M45/1000</f>
        <v>0</v>
      </c>
      <c r="N47" s="30" t="n">
        <f aca="false">N43*N45/1000</f>
        <v>0</v>
      </c>
      <c r="O47" s="30" t="n">
        <f aca="false">O43*O45/1000</f>
        <v>0</v>
      </c>
      <c r="P47" s="30" t="n">
        <f aca="false">P43*P45/1000</f>
        <v>0</v>
      </c>
      <c r="Q47" s="30" t="n">
        <f aca="false">Q43*Q45/1000</f>
        <v>0</v>
      </c>
      <c r="R47" s="30" t="n">
        <f aca="false">R43*R45/1000</f>
        <v>0</v>
      </c>
      <c r="S47" s="30" t="n">
        <f aca="false">S43*S45/1000</f>
        <v>0</v>
      </c>
      <c r="T47" s="30" t="n">
        <f aca="false">T43*T45/1000</f>
        <v>0</v>
      </c>
      <c r="U47" s="30" t="n">
        <f aca="false">U43*U45/1000</f>
        <v>0</v>
      </c>
      <c r="V47" s="30" t="n">
        <f aca="false">V43*V45/1000</f>
        <v>0</v>
      </c>
      <c r="W47" s="30" t="n">
        <f aca="false">W43*W45/1000</f>
        <v>0</v>
      </c>
      <c r="X47" s="30" t="n">
        <f aca="false">X43*X45/1000</f>
        <v>0</v>
      </c>
      <c r="Y47" s="30" t="n">
        <f aca="false">Y43*Y45/1000</f>
        <v>0</v>
      </c>
      <c r="Z47" s="30" t="n">
        <f aca="false">Z43*Z45/1000</f>
        <v>0</v>
      </c>
      <c r="AA47" s="30" t="n">
        <f aca="false">AA43*AA45/1000</f>
        <v>0</v>
      </c>
      <c r="AB47" s="30" t="n">
        <f aca="false">AB43*AB45/1000</f>
        <v>0</v>
      </c>
      <c r="AC47" s="30" t="n">
        <f aca="false">AC43*AC45/1000</f>
        <v>0</v>
      </c>
    </row>
    <row r="48" customFormat="false" ht="15" hidden="false" customHeight="true" outlineLevel="0" collapsed="false">
      <c r="B48" s="5" t="s">
        <v>198</v>
      </c>
      <c r="C48" s="13" t="s">
        <v>165</v>
      </c>
      <c r="D48" s="31" t="n">
        <f aca="false">SUM(F48:AC48)</f>
        <v>976.694467651551</v>
      </c>
      <c r="F48" s="32" t="n">
        <f aca="false">F46+F47</f>
        <v>448.464552863826</v>
      </c>
      <c r="G48" s="32" t="n">
        <f aca="false">G46+G47</f>
        <v>413.967279566608</v>
      </c>
      <c r="H48" s="32" t="n">
        <f aca="false">H46+H47</f>
        <v>114.262635221117</v>
      </c>
      <c r="I48" s="32" t="n">
        <f aca="false">I46+I47</f>
        <v>0</v>
      </c>
      <c r="J48" s="32" t="n">
        <f aca="false">J46+J47</f>
        <v>0</v>
      </c>
      <c r="K48" s="32" t="n">
        <f aca="false">K46+K47</f>
        <v>0</v>
      </c>
      <c r="L48" s="32" t="n">
        <f aca="false">L46+L47</f>
        <v>0</v>
      </c>
      <c r="M48" s="32" t="n">
        <f aca="false">M46+M47</f>
        <v>0</v>
      </c>
      <c r="N48" s="32" t="n">
        <f aca="false">N46+N47</f>
        <v>0</v>
      </c>
      <c r="O48" s="32" t="n">
        <f aca="false">O46+O47</f>
        <v>0</v>
      </c>
      <c r="P48" s="32" t="n">
        <f aca="false">P46+P47</f>
        <v>0</v>
      </c>
      <c r="Q48" s="32" t="n">
        <f aca="false">Q46+Q47</f>
        <v>0</v>
      </c>
      <c r="R48" s="32" t="n">
        <f aca="false">R46+R47</f>
        <v>0</v>
      </c>
      <c r="S48" s="32" t="n">
        <f aca="false">S46+S47</f>
        <v>0</v>
      </c>
      <c r="T48" s="32" t="n">
        <f aca="false">T46+T47</f>
        <v>0</v>
      </c>
      <c r="U48" s="32" t="n">
        <f aca="false">U46+U47</f>
        <v>0</v>
      </c>
      <c r="V48" s="32" t="n">
        <f aca="false">V46+V47</f>
        <v>0</v>
      </c>
      <c r="W48" s="32" t="n">
        <f aca="false">W46+W47</f>
        <v>0</v>
      </c>
      <c r="X48" s="32" t="n">
        <f aca="false">X46+X47</f>
        <v>0</v>
      </c>
      <c r="Y48" s="32" t="n">
        <f aca="false">Y46+Y47</f>
        <v>0</v>
      </c>
      <c r="Z48" s="32" t="n">
        <f aca="false">Z46+Z47</f>
        <v>0</v>
      </c>
      <c r="AA48" s="32" t="n">
        <f aca="false">AA46+AA47</f>
        <v>0</v>
      </c>
      <c r="AB48" s="32" t="n">
        <f aca="false">AB46+AB47</f>
        <v>0</v>
      </c>
      <c r="AC48" s="32" t="n">
        <f aca="false">AC46+AC47</f>
        <v>0</v>
      </c>
    </row>
    <row r="49" customFormat="false" ht="15" hidden="false" customHeight="true" outlineLevel="0" collapsed="false">
      <c r="B49" s="6" t="s">
        <v>160</v>
      </c>
      <c r="C49" s="13" t="s">
        <v>165</v>
      </c>
      <c r="D49" s="30" t="n">
        <f aca="false">SUM(F49:AC49)</f>
        <v>0</v>
      </c>
      <c r="F49" s="30" t="n">
        <f aca="false">-F42*$C$19</f>
        <v>-0</v>
      </c>
      <c r="G49" s="30" t="n">
        <f aca="false">-G42*$C$19</f>
        <v>-0</v>
      </c>
      <c r="H49" s="30" t="n">
        <f aca="false">-H42*$C$19</f>
        <v>-0</v>
      </c>
      <c r="I49" s="30" t="n">
        <f aca="false">-I42*$C$19</f>
        <v>-0</v>
      </c>
      <c r="J49" s="30" t="n">
        <f aca="false">-J42*$C$19</f>
        <v>-0</v>
      </c>
      <c r="K49" s="30" t="n">
        <f aca="false">-K42*$C$19</f>
        <v>-0</v>
      </c>
      <c r="L49" s="30" t="n">
        <f aca="false">-L42*$C$19</f>
        <v>-0</v>
      </c>
      <c r="M49" s="30" t="n">
        <f aca="false">-M42*$C$19</f>
        <v>-0</v>
      </c>
      <c r="N49" s="30" t="n">
        <f aca="false">-N42*$C$19</f>
        <v>-0</v>
      </c>
      <c r="O49" s="30" t="n">
        <f aca="false">-O42*$C$19</f>
        <v>-0</v>
      </c>
      <c r="P49" s="30" t="n">
        <f aca="false">-P42*$C$19</f>
        <v>-0</v>
      </c>
      <c r="Q49" s="30" t="n">
        <f aca="false">-Q42*$C$19</f>
        <v>-0</v>
      </c>
      <c r="R49" s="30" t="n">
        <f aca="false">-R42*$C$19</f>
        <v>-0</v>
      </c>
      <c r="S49" s="30" t="n">
        <f aca="false">-S42*$C$19</f>
        <v>-0</v>
      </c>
      <c r="T49" s="30" t="n">
        <f aca="false">-T42*$C$19</f>
        <v>-0</v>
      </c>
      <c r="U49" s="30" t="n">
        <f aca="false">-U42*$C$19</f>
        <v>-0</v>
      </c>
      <c r="V49" s="30" t="n">
        <f aca="false">-V42*$C$19</f>
        <v>-0</v>
      </c>
      <c r="W49" s="30" t="n">
        <f aca="false">-W42*$C$19</f>
        <v>-0</v>
      </c>
      <c r="X49" s="30" t="n">
        <f aca="false">-X42*$C$19</f>
        <v>-0</v>
      </c>
      <c r="Y49" s="30" t="n">
        <f aca="false">-Y42*$C$19</f>
        <v>-0</v>
      </c>
      <c r="Z49" s="30" t="n">
        <f aca="false">-Z42*$C$19</f>
        <v>-0</v>
      </c>
      <c r="AA49" s="30" t="n">
        <f aca="false">-AA42*$C$19</f>
        <v>-0</v>
      </c>
      <c r="AB49" s="30" t="n">
        <f aca="false">-AB42*$C$19</f>
        <v>-0</v>
      </c>
      <c r="AC49" s="30" t="n">
        <f aca="false">-AC42*$C$19</f>
        <v>-0</v>
      </c>
    </row>
    <row r="50" customFormat="false" ht="15" hidden="false" customHeight="true" outlineLevel="0" collapsed="false">
      <c r="B50" s="6" t="s">
        <v>199</v>
      </c>
      <c r="C50" s="13" t="s">
        <v>165</v>
      </c>
      <c r="D50" s="30" t="n">
        <f aca="false">SUM(F50:AC50)</f>
        <v>-78.135557412124</v>
      </c>
      <c r="F50" s="30" t="n">
        <f aca="false">-F48*$C$25</f>
        <v>-35.8771642291061</v>
      </c>
      <c r="G50" s="30" t="n">
        <f aca="false">-G48*$C$25</f>
        <v>-33.1173823653287</v>
      </c>
      <c r="H50" s="30" t="n">
        <f aca="false">-H48*$C$25</f>
        <v>-9.14101081768933</v>
      </c>
      <c r="I50" s="30" t="n">
        <f aca="false">-I48*$C$25</f>
        <v>-0</v>
      </c>
      <c r="J50" s="30" t="n">
        <f aca="false">-J48*$C$25</f>
        <v>-0</v>
      </c>
      <c r="K50" s="30" t="n">
        <f aca="false">-K48*$C$25</f>
        <v>-0</v>
      </c>
      <c r="L50" s="30" t="n">
        <f aca="false">-L48*$C$25</f>
        <v>-0</v>
      </c>
      <c r="M50" s="30" t="n">
        <f aca="false">-M48*$C$25</f>
        <v>-0</v>
      </c>
      <c r="N50" s="30" t="n">
        <f aca="false">-N48*$C$25</f>
        <v>-0</v>
      </c>
      <c r="O50" s="30" t="n">
        <f aca="false">-O48*$C$25</f>
        <v>-0</v>
      </c>
      <c r="P50" s="30" t="n">
        <f aca="false">-P48*$C$25</f>
        <v>-0</v>
      </c>
      <c r="Q50" s="30" t="n">
        <f aca="false">-Q48*$C$25</f>
        <v>-0</v>
      </c>
      <c r="R50" s="30" t="n">
        <f aca="false">-R48*$C$25</f>
        <v>-0</v>
      </c>
      <c r="S50" s="30" t="n">
        <f aca="false">-S48*$C$25</f>
        <v>-0</v>
      </c>
      <c r="T50" s="30" t="n">
        <f aca="false">-T48*$C$25</f>
        <v>-0</v>
      </c>
      <c r="U50" s="30" t="n">
        <f aca="false">-U48*$C$25</f>
        <v>-0</v>
      </c>
      <c r="V50" s="30" t="n">
        <f aca="false">-V48*$C$25</f>
        <v>-0</v>
      </c>
      <c r="W50" s="30" t="n">
        <f aca="false">-W48*$C$25</f>
        <v>-0</v>
      </c>
      <c r="X50" s="30" t="n">
        <f aca="false">-X48*$C$25</f>
        <v>-0</v>
      </c>
      <c r="Y50" s="30" t="n">
        <f aca="false">-Y48*$C$25</f>
        <v>-0</v>
      </c>
      <c r="Z50" s="30" t="n">
        <f aca="false">-Z48*$C$25</f>
        <v>-0</v>
      </c>
      <c r="AA50" s="30" t="n">
        <f aca="false">-AA48*$C$25</f>
        <v>-0</v>
      </c>
      <c r="AB50" s="30" t="n">
        <f aca="false">-AB48*$C$25</f>
        <v>-0</v>
      </c>
      <c r="AC50" s="30" t="n">
        <f aca="false">-AC48*$C$25</f>
        <v>-0</v>
      </c>
    </row>
    <row r="51" customFormat="false" ht="15" hidden="false" customHeight="true" outlineLevel="0" collapsed="false">
      <c r="B51" s="6" t="s">
        <v>200</v>
      </c>
      <c r="C51" s="13" t="s">
        <v>165</v>
      </c>
      <c r="D51" s="30" t="n">
        <f aca="false">SUM(F51:AC51)</f>
        <v>-372.78</v>
      </c>
      <c r="F51" s="30" t="n">
        <f aca="false">-F40*$C$18</f>
        <v>-162</v>
      </c>
      <c r="G51" s="30" t="n">
        <f aca="false">-G40*$C$18</f>
        <v>-162</v>
      </c>
      <c r="H51" s="30" t="n">
        <f aca="false">-H40*$C$18</f>
        <v>-48.78</v>
      </c>
      <c r="I51" s="30" t="n">
        <f aca="false">-I40*$C$18</f>
        <v>-0</v>
      </c>
      <c r="J51" s="30" t="n">
        <f aca="false">-J40*$C$18</f>
        <v>-0</v>
      </c>
      <c r="K51" s="30" t="n">
        <f aca="false">-K40*$C$18</f>
        <v>-0</v>
      </c>
      <c r="L51" s="30" t="n">
        <f aca="false">-L40*$C$18</f>
        <v>-0</v>
      </c>
      <c r="M51" s="30" t="n">
        <f aca="false">-M40*$C$18</f>
        <v>-0</v>
      </c>
      <c r="N51" s="30" t="n">
        <f aca="false">-N40*$C$18</f>
        <v>-0</v>
      </c>
      <c r="O51" s="30" t="n">
        <f aca="false">-O40*$C$18</f>
        <v>-0</v>
      </c>
      <c r="P51" s="30" t="n">
        <f aca="false">-P40*$C$18</f>
        <v>-0</v>
      </c>
      <c r="Q51" s="30" t="n">
        <f aca="false">-Q40*$C$18</f>
        <v>-0</v>
      </c>
      <c r="R51" s="30" t="n">
        <f aca="false">-R40*$C$18</f>
        <v>-0</v>
      </c>
      <c r="S51" s="30" t="n">
        <f aca="false">-S40*$C$18</f>
        <v>-0</v>
      </c>
      <c r="T51" s="30" t="n">
        <f aca="false">-T40*$C$18</f>
        <v>-0</v>
      </c>
      <c r="U51" s="30" t="n">
        <f aca="false">-U40*$C$18</f>
        <v>-0</v>
      </c>
      <c r="V51" s="30" t="n">
        <f aca="false">-V40*$C$18</f>
        <v>-0</v>
      </c>
      <c r="W51" s="30" t="n">
        <f aca="false">-W40*$C$18</f>
        <v>-0</v>
      </c>
      <c r="X51" s="30" t="n">
        <f aca="false">-X40*$C$18</f>
        <v>-0</v>
      </c>
      <c r="Y51" s="30" t="n">
        <f aca="false">-Y40*$C$18</f>
        <v>-0</v>
      </c>
      <c r="Z51" s="30" t="n">
        <f aca="false">-Z40*$C$18</f>
        <v>-0</v>
      </c>
      <c r="AA51" s="30" t="n">
        <f aca="false">-AA40*$C$18</f>
        <v>-0</v>
      </c>
      <c r="AB51" s="30" t="n">
        <f aca="false">-AB40*$C$18</f>
        <v>-0</v>
      </c>
      <c r="AC51" s="30" t="n">
        <f aca="false">-AC40*$C$18</f>
        <v>-0</v>
      </c>
    </row>
    <row r="52" customFormat="false" ht="15" hidden="false" customHeight="true" outlineLevel="0" collapsed="false">
      <c r="B52" s="5" t="s">
        <v>201</v>
      </c>
      <c r="C52" s="13" t="s">
        <v>165</v>
      </c>
      <c r="D52" s="31" t="n">
        <f aca="false">SUM(F52:AC52)</f>
        <v>525.778910239426</v>
      </c>
      <c r="F52" s="32" t="n">
        <f aca="false">SUM(F48:F51)</f>
        <v>250.58738863472</v>
      </c>
      <c r="G52" s="32" t="n">
        <f aca="false">SUM(G48:G51)</f>
        <v>218.84989720128</v>
      </c>
      <c r="H52" s="32" t="n">
        <f aca="false">SUM(H48:H51)</f>
        <v>56.3416244034273</v>
      </c>
      <c r="I52" s="32" t="n">
        <f aca="false">SUM(I48:I51)</f>
        <v>0</v>
      </c>
      <c r="J52" s="32" t="n">
        <f aca="false">SUM(J48:J51)</f>
        <v>0</v>
      </c>
      <c r="K52" s="32" t="n">
        <f aca="false">SUM(K48:K51)</f>
        <v>0</v>
      </c>
      <c r="L52" s="32" t="n">
        <f aca="false">SUM(L48:L51)</f>
        <v>0</v>
      </c>
      <c r="M52" s="32" t="n">
        <f aca="false">SUM(M48:M51)</f>
        <v>0</v>
      </c>
      <c r="N52" s="32" t="n">
        <f aca="false">SUM(N48:N51)</f>
        <v>0</v>
      </c>
      <c r="O52" s="32" t="n">
        <f aca="false">SUM(O48:O51)</f>
        <v>0</v>
      </c>
      <c r="P52" s="32" t="n">
        <f aca="false">SUM(P48:P51)</f>
        <v>0</v>
      </c>
      <c r="Q52" s="32" t="n">
        <f aca="false">SUM(Q48:Q51)</f>
        <v>0</v>
      </c>
      <c r="R52" s="32" t="n">
        <f aca="false">SUM(R48:R51)</f>
        <v>0</v>
      </c>
      <c r="S52" s="32" t="n">
        <f aca="false">SUM(S48:S51)</f>
        <v>0</v>
      </c>
      <c r="T52" s="32" t="n">
        <f aca="false">SUM(T48:T51)</f>
        <v>0</v>
      </c>
      <c r="U52" s="32" t="n">
        <f aca="false">SUM(U48:U51)</f>
        <v>0</v>
      </c>
      <c r="V52" s="32" t="n">
        <f aca="false">SUM(V48:V51)</f>
        <v>0</v>
      </c>
      <c r="W52" s="32" t="n">
        <f aca="false">SUM(W48:W51)</f>
        <v>0</v>
      </c>
      <c r="X52" s="32" t="n">
        <f aca="false">SUM(X48:X51)</f>
        <v>0</v>
      </c>
      <c r="Y52" s="32" t="n">
        <f aca="false">SUM(Y48:Y51)</f>
        <v>0</v>
      </c>
      <c r="Z52" s="32" t="n">
        <f aca="false">SUM(Z48:Z51)</f>
        <v>0</v>
      </c>
      <c r="AA52" s="32" t="n">
        <f aca="false">SUM(AA48:AA51)</f>
        <v>0</v>
      </c>
      <c r="AB52" s="32" t="n">
        <f aca="false">SUM(AB48:AB51)</f>
        <v>0</v>
      </c>
      <c r="AC52" s="32" t="n">
        <f aca="false">SUM(AC48:AC51)</f>
        <v>0</v>
      </c>
    </row>
    <row r="53" customFormat="false" ht="15" hidden="false" customHeight="true" outlineLevel="0" collapsed="false">
      <c r="B53" s="6" t="s">
        <v>162</v>
      </c>
      <c r="C53" s="13" t="s">
        <v>165</v>
      </c>
      <c r="D53" s="30" t="n">
        <f aca="false">SUM(F53:AC53)</f>
        <v>-60</v>
      </c>
      <c r="F53" s="30" t="n">
        <f aca="false">-IF(F40&gt;0,$C$20,0)</f>
        <v>-20</v>
      </c>
      <c r="G53" s="30" t="n">
        <f aca="false">-IF(G40&gt;0,$C$20,0)</f>
        <v>-20</v>
      </c>
      <c r="H53" s="30" t="n">
        <f aca="false">-IF(H40&gt;0,$C$20,0)</f>
        <v>-20</v>
      </c>
      <c r="I53" s="30" t="n">
        <f aca="false">-IF(I40&gt;0,$C$20,0)</f>
        <v>-0</v>
      </c>
      <c r="J53" s="30" t="n">
        <f aca="false">-IF(J40&gt;0,$C$20,0)</f>
        <v>-0</v>
      </c>
      <c r="K53" s="30" t="n">
        <f aca="false">-IF(K40&gt;0,$C$20,0)</f>
        <v>-0</v>
      </c>
      <c r="L53" s="30" t="n">
        <f aca="false">-IF(L40&gt;0,$C$20,0)</f>
        <v>-0</v>
      </c>
      <c r="M53" s="30" t="n">
        <f aca="false">-IF(M40&gt;0,$C$20,0)</f>
        <v>-0</v>
      </c>
      <c r="N53" s="30" t="n">
        <f aca="false">-IF(N40&gt;0,$C$20,0)</f>
        <v>-0</v>
      </c>
      <c r="O53" s="30" t="n">
        <f aca="false">-IF(O40&gt;0,$C$20,0)</f>
        <v>-0</v>
      </c>
      <c r="P53" s="30" t="n">
        <f aca="false">-IF(P40&gt;0,$C$20,0)</f>
        <v>-0</v>
      </c>
      <c r="Q53" s="30" t="n">
        <f aca="false">-IF(Q40&gt;0,$C$20,0)</f>
        <v>-0</v>
      </c>
      <c r="R53" s="30" t="n">
        <f aca="false">-IF(R40&gt;0,$C$20,0)</f>
        <v>-0</v>
      </c>
      <c r="S53" s="30" t="n">
        <f aca="false">-IF(S40&gt;0,$C$20,0)</f>
        <v>-0</v>
      </c>
      <c r="T53" s="30" t="n">
        <f aca="false">-IF(T40&gt;0,$C$20,0)</f>
        <v>-0</v>
      </c>
      <c r="U53" s="30" t="n">
        <f aca="false">-IF(U40&gt;0,$C$20,0)</f>
        <v>-0</v>
      </c>
      <c r="V53" s="30" t="n">
        <f aca="false">-IF(V40&gt;0,$C$20,0)</f>
        <v>-0</v>
      </c>
      <c r="W53" s="30" t="n">
        <f aca="false">-IF(W40&gt;0,$C$20,0)</f>
        <v>-0</v>
      </c>
      <c r="X53" s="30" t="n">
        <f aca="false">-IF(X40&gt;0,$C$20,0)</f>
        <v>-0</v>
      </c>
      <c r="Y53" s="30" t="n">
        <f aca="false">-IF(Y40&gt;0,$C$20,0)</f>
        <v>-0</v>
      </c>
      <c r="Z53" s="30" t="n">
        <f aca="false">-IF(Z40&gt;0,$C$20,0)</f>
        <v>-0</v>
      </c>
      <c r="AA53" s="30" t="n">
        <f aca="false">-IF(AA40&gt;0,$C$20,0)</f>
        <v>-0</v>
      </c>
      <c r="AB53" s="30" t="n">
        <f aca="false">-IF(AB40&gt;0,$C$20,0)</f>
        <v>-0</v>
      </c>
      <c r="AC53" s="30" t="n">
        <f aca="false">-IF(AC40&gt;0,$C$20,0)</f>
        <v>-0</v>
      </c>
    </row>
    <row r="54" customFormat="false" ht="15" hidden="false" customHeight="true" outlineLevel="0" collapsed="false">
      <c r="B54" s="6" t="s">
        <v>202</v>
      </c>
      <c r="C54" s="13" t="s">
        <v>165</v>
      </c>
      <c r="D54" s="30" t="n">
        <f aca="false">SUM(F54:AC54)</f>
        <v>0</v>
      </c>
      <c r="F54" s="30" t="n">
        <f aca="false">-IF(AND(F$34&gt;=$C$22,F$34&lt;$C$22+$C$23),$C$21/$C$23,0)</f>
        <v>-0</v>
      </c>
      <c r="G54" s="30" t="n">
        <f aca="false">-IF(AND(G$34&gt;=$C$22,G$34&lt;$C$22+$C$23),$C$21/$C$23,0)</f>
        <v>-0</v>
      </c>
      <c r="H54" s="30" t="n">
        <f aca="false">-IF(AND(H$34&gt;=$C$22,H$34&lt;$C$22+$C$23),$C$21/$C$23,0)</f>
        <v>-0</v>
      </c>
      <c r="I54" s="30" t="n">
        <f aca="false">-IF(AND(I$34&gt;=$C$22,I$34&lt;$C$22+$C$23),$C$21/$C$23,0)</f>
        <v>-0</v>
      </c>
      <c r="J54" s="30" t="n">
        <f aca="false">-IF(AND(J$34&gt;=$C$22,J$34&lt;$C$22+$C$23),$C$21/$C$23,0)</f>
        <v>-0</v>
      </c>
      <c r="K54" s="30" t="n">
        <f aca="false">-IF(AND(K$34&gt;=$C$22,K$34&lt;$C$22+$C$23),$C$21/$C$23,0)</f>
        <v>-0</v>
      </c>
      <c r="L54" s="30" t="n">
        <f aca="false">-IF(AND(L$34&gt;=$C$22,L$34&lt;$C$22+$C$23),$C$21/$C$23,0)</f>
        <v>-0</v>
      </c>
      <c r="M54" s="30" t="n">
        <f aca="false">-IF(AND(M$34&gt;=$C$22,M$34&lt;$C$22+$C$23),$C$21/$C$23,0)</f>
        <v>-0</v>
      </c>
      <c r="N54" s="30" t="n">
        <f aca="false">-IF(AND(N$34&gt;=$C$22,N$34&lt;$C$22+$C$23),$C$21/$C$23,0)</f>
        <v>-0</v>
      </c>
      <c r="O54" s="30" t="n">
        <f aca="false">-IF(AND(O$34&gt;=$C$22,O$34&lt;$C$22+$C$23),$C$21/$C$23,0)</f>
        <v>-0</v>
      </c>
      <c r="P54" s="30" t="n">
        <f aca="false">-IF(AND(P$34&gt;=$C$22,P$34&lt;$C$22+$C$23),$C$21/$C$23,0)</f>
        <v>-0</v>
      </c>
      <c r="Q54" s="30" t="n">
        <f aca="false">-IF(AND(Q$34&gt;=$C$22,Q$34&lt;$C$22+$C$23),$C$21/$C$23,0)</f>
        <v>-0</v>
      </c>
      <c r="R54" s="30" t="n">
        <f aca="false">-IF(AND(R$34&gt;=$C$22,R$34&lt;$C$22+$C$23),$C$21/$C$23,0)</f>
        <v>-0</v>
      </c>
      <c r="S54" s="30" t="n">
        <f aca="false">-IF(AND(S$34&gt;=$C$22,S$34&lt;$C$22+$C$23),$C$21/$C$23,0)</f>
        <v>-0</v>
      </c>
      <c r="T54" s="30" t="n">
        <f aca="false">-IF(AND(T$34&gt;=$C$22,T$34&lt;$C$22+$C$23),$C$21/$C$23,0)</f>
        <v>-0</v>
      </c>
      <c r="U54" s="30" t="n">
        <f aca="false">-IF(AND(U$34&gt;=$C$22,U$34&lt;$C$22+$C$23),$C$21/$C$23,0)</f>
        <v>-0</v>
      </c>
      <c r="V54" s="30" t="n">
        <f aca="false">-IF(AND(V$34&gt;=$C$22,V$34&lt;$C$22+$C$23),$C$21/$C$23,0)</f>
        <v>-0</v>
      </c>
      <c r="W54" s="30" t="n">
        <f aca="false">-IF(AND(W$34&gt;=$C$22,W$34&lt;$C$22+$C$23),$C$21/$C$23,0)</f>
        <v>-0</v>
      </c>
      <c r="X54" s="30" t="n">
        <f aca="false">-IF(AND(X$34&gt;=$C$22,X$34&lt;$C$22+$C$23),$C$21/$C$23,0)</f>
        <v>-0</v>
      </c>
      <c r="Y54" s="30" t="n">
        <f aca="false">-IF(AND(Y$34&gt;=$C$22,Y$34&lt;$C$22+$C$23),$C$21/$C$23,0)</f>
        <v>-0</v>
      </c>
      <c r="Z54" s="30" t="n">
        <f aca="false">-IF(AND(Z$34&gt;=$C$22,Z$34&lt;$C$22+$C$23),$C$21/$C$23,0)</f>
        <v>-0</v>
      </c>
      <c r="AA54" s="30" t="n">
        <f aca="false">-IF(AND(AA$34&gt;=$C$22,AA$34&lt;$C$22+$C$23),$C$21/$C$23,0)</f>
        <v>-0</v>
      </c>
      <c r="AB54" s="30" t="n">
        <f aca="false">-IF(AND(AB$34&gt;=$C$22,AB$34&lt;$C$22+$C$23),$C$21/$C$23,0)</f>
        <v>-0</v>
      </c>
      <c r="AC54" s="30" t="n">
        <f aca="false">-IF(AND(AC$34&gt;=$C$22,AC$34&lt;$C$22+$C$23),$C$21/$C$23,0)</f>
        <v>-0</v>
      </c>
    </row>
    <row r="55" customFormat="false" ht="15" hidden="false" customHeight="true" outlineLevel="0" collapsed="false">
      <c r="B55" s="6" t="s">
        <v>203</v>
      </c>
      <c r="C55" s="13" t="s">
        <v>165</v>
      </c>
      <c r="D55" s="30" t="n">
        <f aca="false">SUM(F55:AC55)</f>
        <v>-40</v>
      </c>
      <c r="F55" s="30" t="n">
        <f aca="false">0</f>
        <v>0</v>
      </c>
      <c r="G55" s="30" t="n">
        <f aca="false">-IF(AND(G40=0,F40&gt;0),$C$24,0)</f>
        <v>-0</v>
      </c>
      <c r="H55" s="30" t="n">
        <f aca="false">-IF(AND(H40=0,G40&gt;0),$C$24,0)</f>
        <v>-0</v>
      </c>
      <c r="I55" s="30" t="n">
        <f aca="false">-IF(AND(I40=0,H40&gt;0),$C$24,0)</f>
        <v>-40</v>
      </c>
      <c r="J55" s="30" t="n">
        <f aca="false">-IF(AND(J40=0,I40&gt;0),$C$24,0)</f>
        <v>-0</v>
      </c>
      <c r="K55" s="30" t="n">
        <f aca="false">-IF(AND(K40=0,J40&gt;0),$C$24,0)</f>
        <v>-0</v>
      </c>
      <c r="L55" s="30" t="n">
        <f aca="false">-IF(AND(L40=0,K40&gt;0),$C$24,0)</f>
        <v>-0</v>
      </c>
      <c r="M55" s="30" t="n">
        <f aca="false">-IF(AND(M40=0,L40&gt;0),$C$24,0)</f>
        <v>-0</v>
      </c>
      <c r="N55" s="30" t="n">
        <f aca="false">-IF(AND(N40=0,M40&gt;0),$C$24,0)</f>
        <v>-0</v>
      </c>
      <c r="O55" s="30" t="n">
        <f aca="false">-IF(AND(O40=0,N40&gt;0),$C$24,0)</f>
        <v>-0</v>
      </c>
      <c r="P55" s="30" t="n">
        <f aca="false">-IF(AND(P40=0,O40&gt;0),$C$24,0)</f>
        <v>-0</v>
      </c>
      <c r="Q55" s="30" t="n">
        <f aca="false">-IF(AND(Q40=0,P40&gt;0),$C$24,0)</f>
        <v>-0</v>
      </c>
      <c r="R55" s="30" t="n">
        <f aca="false">-IF(AND(R40=0,Q40&gt;0),$C$24,0)</f>
        <v>-0</v>
      </c>
      <c r="S55" s="30" t="n">
        <f aca="false">-IF(AND(S40=0,R40&gt;0),$C$24,0)</f>
        <v>-0</v>
      </c>
      <c r="T55" s="30" t="n">
        <f aca="false">-IF(AND(T40=0,S40&gt;0),$C$24,0)</f>
        <v>-0</v>
      </c>
      <c r="U55" s="30" t="n">
        <f aca="false">-IF(AND(U40=0,T40&gt;0),$C$24,0)</f>
        <v>-0</v>
      </c>
      <c r="V55" s="30" t="n">
        <f aca="false">-IF(AND(V40=0,U40&gt;0),$C$24,0)</f>
        <v>-0</v>
      </c>
      <c r="W55" s="30" t="n">
        <f aca="false">-IF(AND(W40=0,V40&gt;0),$C$24,0)</f>
        <v>-0</v>
      </c>
      <c r="X55" s="30" t="n">
        <f aca="false">-IF(AND(X40=0,W40&gt;0),$C$24,0)</f>
        <v>-0</v>
      </c>
      <c r="Y55" s="30" t="n">
        <f aca="false">-IF(AND(Y40=0,X40&gt;0),$C$24,0)</f>
        <v>-0</v>
      </c>
      <c r="Z55" s="30" t="n">
        <f aca="false">-IF(AND(Z40=0,Y40&gt;0),$C$24,0)</f>
        <v>-0</v>
      </c>
      <c r="AA55" s="30" t="n">
        <f aca="false">-IF(AND(AA40=0,Z40&gt;0),$C$24,0)</f>
        <v>-0</v>
      </c>
      <c r="AB55" s="30" t="n">
        <f aca="false">-IF(AND(AB40=0,AA40&gt;0),$C$24,0)</f>
        <v>-0</v>
      </c>
      <c r="AC55" s="30" t="n">
        <f aca="false">-IF(AND(AC40=0,AB40&gt;0),$C$24,0)</f>
        <v>-0</v>
      </c>
    </row>
    <row r="56" customFormat="false" ht="15" hidden="false" customHeight="true" outlineLevel="0" collapsed="false">
      <c r="B56" s="6" t="s">
        <v>204</v>
      </c>
      <c r="C56" s="13" t="s">
        <v>165</v>
      </c>
      <c r="D56" s="30" t="n">
        <f aca="false">SUM(F56:AC56)</f>
        <v>-116.444727559857</v>
      </c>
      <c r="F56" s="30" t="n">
        <f aca="false">-MAX(0,(F52+F53+F54)*$C$26)</f>
        <v>-57.6468471586799</v>
      </c>
      <c r="G56" s="30" t="n">
        <f aca="false">-MAX(0,(G52+G53+G54)*$C$26)</f>
        <v>-49.7124743003199</v>
      </c>
      <c r="H56" s="30" t="n">
        <f aca="false">-MAX(0,(H52+H53+H54)*$C$26)</f>
        <v>-9.08540610085682</v>
      </c>
      <c r="I56" s="30" t="n">
        <f aca="false">-MAX(0,(I52+I53+I54)*$C$26)</f>
        <v>-0</v>
      </c>
      <c r="J56" s="30" t="n">
        <f aca="false">-MAX(0,(J52+J53+J54)*$C$26)</f>
        <v>-0</v>
      </c>
      <c r="K56" s="30" t="n">
        <f aca="false">-MAX(0,(K52+K53+K54)*$C$26)</f>
        <v>-0</v>
      </c>
      <c r="L56" s="30" t="n">
        <f aca="false">-MAX(0,(L52+L53+L54)*$C$26)</f>
        <v>-0</v>
      </c>
      <c r="M56" s="30" t="n">
        <f aca="false">-MAX(0,(M52+M53+M54)*$C$26)</f>
        <v>-0</v>
      </c>
      <c r="N56" s="30" t="n">
        <f aca="false">-MAX(0,(N52+N53+N54)*$C$26)</f>
        <v>-0</v>
      </c>
      <c r="O56" s="30" t="n">
        <f aca="false">-MAX(0,(O52+O53+O54)*$C$26)</f>
        <v>-0</v>
      </c>
      <c r="P56" s="30" t="n">
        <f aca="false">-MAX(0,(P52+P53+P54)*$C$26)</f>
        <v>-0</v>
      </c>
      <c r="Q56" s="30" t="n">
        <f aca="false">-MAX(0,(Q52+Q53+Q54)*$C$26)</f>
        <v>-0</v>
      </c>
      <c r="R56" s="30" t="n">
        <f aca="false">-MAX(0,(R52+R53+R54)*$C$26)</f>
        <v>-0</v>
      </c>
      <c r="S56" s="30" t="n">
        <f aca="false">-MAX(0,(S52+S53+S54)*$C$26)</f>
        <v>-0</v>
      </c>
      <c r="T56" s="30" t="n">
        <f aca="false">-MAX(0,(T52+T53+T54)*$C$26)</f>
        <v>-0</v>
      </c>
      <c r="U56" s="30" t="n">
        <f aca="false">-MAX(0,(U52+U53+U54)*$C$26)</f>
        <v>-0</v>
      </c>
      <c r="V56" s="30" t="n">
        <f aca="false">-MAX(0,(V52+V53+V54)*$C$26)</f>
        <v>-0</v>
      </c>
      <c r="W56" s="30" t="n">
        <f aca="false">-MAX(0,(W52+W53+W54)*$C$26)</f>
        <v>-0</v>
      </c>
      <c r="X56" s="30" t="n">
        <f aca="false">-MAX(0,(X52+X53+X54)*$C$26)</f>
        <v>-0</v>
      </c>
      <c r="Y56" s="30" t="n">
        <f aca="false">-MAX(0,(Y52+Y53+Y54)*$C$26)</f>
        <v>-0</v>
      </c>
      <c r="Z56" s="30" t="n">
        <f aca="false">-MAX(0,(Z52+Z53+Z54)*$C$26)</f>
        <v>-0</v>
      </c>
      <c r="AA56" s="30" t="n">
        <f aca="false">-MAX(0,(AA52+AA53+AA54)*$C$26)</f>
        <v>-0</v>
      </c>
      <c r="AB56" s="30" t="n">
        <f aca="false">-MAX(0,(AB52+AB53+AB54)*$C$26)</f>
        <v>-0</v>
      </c>
      <c r="AC56" s="30" t="n">
        <f aca="false">-MAX(0,(AC52+AC53+AC54)*$C$26)</f>
        <v>-0</v>
      </c>
    </row>
    <row r="57" customFormat="false" ht="15" hidden="false" customHeight="true" outlineLevel="0" collapsed="false">
      <c r="B57" s="5" t="s">
        <v>205</v>
      </c>
      <c r="C57" s="13" t="s">
        <v>165</v>
      </c>
      <c r="D57" s="31" t="n">
        <f aca="false">SUM(F57:AC57)</f>
        <v>309.33418267957</v>
      </c>
      <c r="F57" s="32" t="n">
        <f aca="false">SUM(F52:F56)</f>
        <v>172.94054147604</v>
      </c>
      <c r="G57" s="32" t="n">
        <f aca="false">SUM(G52:G56)</f>
        <v>149.13742290096</v>
      </c>
      <c r="H57" s="32" t="n">
        <f aca="false">SUM(H52:H56)</f>
        <v>27.2562183025705</v>
      </c>
      <c r="I57" s="32" t="n">
        <f aca="false">SUM(I52:I56)</f>
        <v>-40</v>
      </c>
      <c r="J57" s="32" t="n">
        <f aca="false">SUM(J52:J56)</f>
        <v>0</v>
      </c>
      <c r="K57" s="32" t="n">
        <f aca="false">SUM(K52:K56)</f>
        <v>0</v>
      </c>
      <c r="L57" s="32" t="n">
        <f aca="false">SUM(L52:L56)</f>
        <v>0</v>
      </c>
      <c r="M57" s="32" t="n">
        <f aca="false">SUM(M52:M56)</f>
        <v>0</v>
      </c>
      <c r="N57" s="32" t="n">
        <f aca="false">SUM(N52:N56)</f>
        <v>0</v>
      </c>
      <c r="O57" s="32" t="n">
        <f aca="false">SUM(O52:O56)</f>
        <v>0</v>
      </c>
      <c r="P57" s="32" t="n">
        <f aca="false">SUM(P52:P56)</f>
        <v>0</v>
      </c>
      <c r="Q57" s="32" t="n">
        <f aca="false">SUM(Q52:Q56)</f>
        <v>0</v>
      </c>
      <c r="R57" s="32" t="n">
        <f aca="false">SUM(R52:R56)</f>
        <v>0</v>
      </c>
      <c r="S57" s="32" t="n">
        <f aca="false">SUM(S52:S56)</f>
        <v>0</v>
      </c>
      <c r="T57" s="32" t="n">
        <f aca="false">SUM(T52:T56)</f>
        <v>0</v>
      </c>
      <c r="U57" s="32" t="n">
        <f aca="false">SUM(U52:U56)</f>
        <v>0</v>
      </c>
      <c r="V57" s="32" t="n">
        <f aca="false">SUM(V52:V56)</f>
        <v>0</v>
      </c>
      <c r="W57" s="32" t="n">
        <f aca="false">SUM(W52:W56)</f>
        <v>0</v>
      </c>
      <c r="X57" s="32" t="n">
        <f aca="false">SUM(X52:X56)</f>
        <v>0</v>
      </c>
      <c r="Y57" s="32" t="n">
        <f aca="false">SUM(Y52:Y56)</f>
        <v>0</v>
      </c>
      <c r="Z57" s="32" t="n">
        <f aca="false">SUM(Z52:Z56)</f>
        <v>0</v>
      </c>
      <c r="AA57" s="32" t="n">
        <f aca="false">SUM(AA52:AA56)</f>
        <v>0</v>
      </c>
      <c r="AB57" s="32" t="n">
        <f aca="false">SUM(AB52:AB56)</f>
        <v>0</v>
      </c>
      <c r="AC57" s="32" t="n">
        <f aca="false">SUM(AC52:AC56)</f>
        <v>0</v>
      </c>
    </row>
    <row r="58" customFormat="false" ht="15" hidden="false" customHeight="true" outlineLevel="0" collapsed="false">
      <c r="B58" s="6" t="s">
        <v>206</v>
      </c>
      <c r="C58" s="13"/>
      <c r="F58" s="33" t="n">
        <f aca="false">1/(1+$C$31)^(F35-0.5)</f>
        <v>0.975900072948533</v>
      </c>
      <c r="G58" s="33" t="n">
        <f aca="false">1/(1+$C$31)^(G35-0.5)</f>
        <v>0.929428640903365</v>
      </c>
      <c r="H58" s="33" t="n">
        <f aca="false">1/(1+$C$31)^(H35-0.5)</f>
        <v>0.885170134193681</v>
      </c>
      <c r="I58" s="33" t="n">
        <f aca="false">1/(1+$C$31)^(I35-0.5)</f>
        <v>0.843019175422553</v>
      </c>
      <c r="J58" s="33" t="n">
        <f aca="false">1/(1+$C$31)^(J35-0.5)</f>
        <v>0.802875405164336</v>
      </c>
      <c r="K58" s="33" t="n">
        <f aca="false">1/(1+$C$31)^(K35-0.5)</f>
        <v>0.764643243013654</v>
      </c>
      <c r="L58" s="33" t="n">
        <f aca="false">1/(1+$C$31)^(L35-0.5)</f>
        <v>0.728231660013003</v>
      </c>
      <c r="M58" s="33" t="n">
        <f aca="false">1/(1+$C$31)^(M35-0.5)</f>
        <v>0.693553961917146</v>
      </c>
      <c r="N58" s="33" t="n">
        <f aca="false">1/(1+$C$31)^(N35-0.5)</f>
        <v>0.660527582778234</v>
      </c>
      <c r="O58" s="33" t="n">
        <f aca="false">1/(1+$C$31)^(O35-0.5)</f>
        <v>0.629073888360223</v>
      </c>
      <c r="P58" s="33" t="n">
        <f aca="false">1/(1+$C$31)^(P35-0.5)</f>
        <v>0.599117988914498</v>
      </c>
      <c r="Q58" s="33" t="n">
        <f aca="false">1/(1+$C$31)^(Q35-0.5)</f>
        <v>0.570588560870951</v>
      </c>
      <c r="R58" s="33" t="n">
        <f aca="false">1/(1+$C$31)^(R35-0.5)</f>
        <v>0.543417677019953</v>
      </c>
      <c r="S58" s="33" t="n">
        <f aca="false">1/(1+$C$31)^(S35-0.5)</f>
        <v>0.517540644780908</v>
      </c>
      <c r="T58" s="33" t="n">
        <f aca="false">1/(1+$C$31)^(T35-0.5)</f>
        <v>0.492895852172293</v>
      </c>
      <c r="U58" s="33" t="n">
        <f aca="false">1/(1+$C$31)^(U35-0.5)</f>
        <v>0.469424621116469</v>
      </c>
      <c r="V58" s="33" t="n">
        <f aca="false">1/(1+$C$31)^(V35-0.5)</f>
        <v>0.447071067729971</v>
      </c>
      <c r="W58" s="33" t="n">
        <f aca="false">1/(1+$C$31)^(W35-0.5)</f>
        <v>0.425781969266639</v>
      </c>
      <c r="X58" s="33" t="n">
        <f aca="false">1/(1+$C$31)^(X35-0.5)</f>
        <v>0.405506637396799</v>
      </c>
      <c r="Y58" s="33" t="n">
        <f aca="false">1/(1+$C$31)^(Y35-0.5)</f>
        <v>0.386196797520761</v>
      </c>
      <c r="Z58" s="33" t="n">
        <f aca="false">1/(1+$C$31)^(Z35-0.5)</f>
        <v>0.367806473829296</v>
      </c>
      <c r="AA58" s="33" t="n">
        <f aca="false">1/(1+$C$31)^(AA35-0.5)</f>
        <v>0.350291879837425</v>
      </c>
      <c r="AB58" s="33" t="n">
        <f aca="false">1/(1+$C$31)^(AB35-0.5)</f>
        <v>0.333611314130881</v>
      </c>
      <c r="AC58" s="33" t="n">
        <f aca="false">1/(1+$C$31)^(AC35-0.5)</f>
        <v>0.317725061077029</v>
      </c>
    </row>
    <row r="59" customFormat="false" ht="15" hidden="false" customHeight="true" outlineLevel="0" collapsed="false">
      <c r="B59" s="5" t="s">
        <v>207</v>
      </c>
      <c r="C59" s="13" t="s">
        <v>165</v>
      </c>
      <c r="D59" s="31" t="n">
        <f aca="false">SUM(F59:AC59)</f>
        <v>297.790902712492</v>
      </c>
      <c r="F59" s="32" t="n">
        <f aca="false">F57*F58</f>
        <v>168.772687042226</v>
      </c>
      <c r="G59" s="32" t="n">
        <f aca="false">G57*G58</f>
        <v>138.612592274669</v>
      </c>
      <c r="H59" s="32" t="n">
        <f aca="false">H57*H58</f>
        <v>24.1263904124986</v>
      </c>
      <c r="I59" s="32" t="n">
        <f aca="false">I57*I58</f>
        <v>-33.7207670169021</v>
      </c>
      <c r="J59" s="32" t="n">
        <f aca="false">J57*J58</f>
        <v>0</v>
      </c>
      <c r="K59" s="32" t="n">
        <f aca="false">K57*K58</f>
        <v>0</v>
      </c>
      <c r="L59" s="32" t="n">
        <f aca="false">L57*L58</f>
        <v>0</v>
      </c>
      <c r="M59" s="32" t="n">
        <f aca="false">M57*M58</f>
        <v>0</v>
      </c>
      <c r="N59" s="32" t="n">
        <f aca="false">N57*N58</f>
        <v>0</v>
      </c>
      <c r="O59" s="32" t="n">
        <f aca="false">O57*O58</f>
        <v>0</v>
      </c>
      <c r="P59" s="32" t="n">
        <f aca="false">P57*P58</f>
        <v>0</v>
      </c>
      <c r="Q59" s="32" t="n">
        <f aca="false">Q57*Q58</f>
        <v>0</v>
      </c>
      <c r="R59" s="32" t="n">
        <f aca="false">R57*R58</f>
        <v>0</v>
      </c>
      <c r="S59" s="32" t="n">
        <f aca="false">S57*S58</f>
        <v>0</v>
      </c>
      <c r="T59" s="32" t="n">
        <f aca="false">T57*T58</f>
        <v>0</v>
      </c>
      <c r="U59" s="32" t="n">
        <f aca="false">U57*U58</f>
        <v>0</v>
      </c>
      <c r="V59" s="32" t="n">
        <f aca="false">V57*V58</f>
        <v>0</v>
      </c>
      <c r="W59" s="32" t="n">
        <f aca="false">W57*W58</f>
        <v>0</v>
      </c>
      <c r="X59" s="32" t="n">
        <f aca="false">X57*X58</f>
        <v>0</v>
      </c>
      <c r="Y59" s="32" t="n">
        <f aca="false">Y57*Y58</f>
        <v>0</v>
      </c>
      <c r="Z59" s="32" t="n">
        <f aca="false">Z57*Z58</f>
        <v>0</v>
      </c>
      <c r="AA59" s="32" t="n">
        <f aca="false">AA57*AA58</f>
        <v>0</v>
      </c>
      <c r="AB59" s="32" t="n">
        <f aca="false">AB57*AB58</f>
        <v>0</v>
      </c>
      <c r="AC59" s="32" t="n">
        <f aca="false">AC57*AC58</f>
        <v>0</v>
      </c>
    </row>
    <row r="61" customFormat="false" ht="15" hidden="false" customHeight="true" outlineLevel="0" collapsed="false">
      <c r="B61" s="10" t="s">
        <v>208</v>
      </c>
      <c r="C61" s="11"/>
      <c r="D61" s="11"/>
    </row>
    <row r="62" customFormat="false" ht="15" hidden="false" customHeight="true" outlineLevel="0" collapsed="false">
      <c r="B62" s="5" t="s">
        <v>209</v>
      </c>
      <c r="C62" s="31" t="n">
        <f aca="false">SUM(F59:AC59)</f>
        <v>297.790902712492</v>
      </c>
      <c r="D62" s="13" t="s">
        <v>165</v>
      </c>
    </row>
    <row r="63" customFormat="false" ht="15" hidden="false" customHeight="true" outlineLevel="0" collapsed="false">
      <c r="B63" s="5" t="s">
        <v>210</v>
      </c>
      <c r="C63" s="34" t="n">
        <f aca="false">C62*$C$5</f>
        <v>297.790902712492</v>
      </c>
      <c r="D63" s="13" t="s">
        <v>165</v>
      </c>
    </row>
    <row r="64" customFormat="false" ht="15" hidden="false" customHeight="true" outlineLevel="0" collapsed="false">
      <c r="B64" s="5" t="s">
        <v>211</v>
      </c>
      <c r="C64" s="35" t="n">
        <f aca="false">COUNTIF(F40:AC40,"&gt;0")</f>
        <v>3</v>
      </c>
      <c r="D64" s="13" t="s">
        <v>168</v>
      </c>
    </row>
    <row r="65" customFormat="false" ht="15" hidden="false" customHeight="true" outlineLevel="0" collapsed="false">
      <c r="B65" s="5" t="s">
        <v>212</v>
      </c>
      <c r="C65" s="36" t="n">
        <f aca="false">IFERROR((-(F49+F50+F51+F53)-F46)/F43*1000,0)</f>
        <v>1894.7337868006</v>
      </c>
      <c r="D65" s="13" t="s">
        <v>213</v>
      </c>
    </row>
    <row r="66" customFormat="false" ht="15" hidden="false" customHeight="true" outlineLevel="0" collapsed="false">
      <c r="B66" s="5" t="s">
        <v>214</v>
      </c>
      <c r="C66" s="36" t="n">
        <f aca="false">IFERROR((-(D49+D50+D51+D53)-D46)/D43*1000,0)</f>
        <v>1930.84771763497</v>
      </c>
      <c r="D66" s="13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3"/>
    <col collapsed="false" customWidth="true" hidden="false" outlineLevel="0" max="29" min="6" style="1" width="9"/>
  </cols>
  <sheetData>
    <row r="1" customFormat="false" ht="17.25" hidden="false" customHeight="true" outlineLevel="0" collapsed="false">
      <c r="B1" s="2" t="s">
        <v>219</v>
      </c>
    </row>
    <row r="2" customFormat="false" ht="15" hidden="false" customHeight="true" outlineLevel="0" collapsed="false">
      <c r="B2" s="3" t="s">
        <v>127</v>
      </c>
    </row>
    <row r="4" customFormat="false" ht="15" hidden="false" customHeight="true" outlineLevel="0" collapsed="false">
      <c r="B4" s="4" t="s">
        <v>128</v>
      </c>
      <c r="C4" s="4" t="s">
        <v>129</v>
      </c>
      <c r="D4" s="4" t="s">
        <v>130</v>
      </c>
      <c r="F4" s="5" t="s">
        <v>131</v>
      </c>
    </row>
    <row r="5" customFormat="false" ht="15" hidden="false" customHeight="true" outlineLevel="0" collapsed="false">
      <c r="B5" s="6" t="s">
        <v>132</v>
      </c>
      <c r="C5" s="23" t="n">
        <v>1</v>
      </c>
      <c r="D5" s="13" t="s">
        <v>133</v>
      </c>
      <c r="F5" s="13" t="s">
        <v>220</v>
      </c>
    </row>
    <row r="6" customFormat="false" ht="15" hidden="false" customHeight="true" outlineLevel="0" collapsed="false">
      <c r="B6" s="6" t="s">
        <v>135</v>
      </c>
      <c r="C6" s="15" t="n">
        <v>33.348</v>
      </c>
      <c r="D6" s="13" t="s">
        <v>136</v>
      </c>
      <c r="F6" s="13" t="s">
        <v>221</v>
      </c>
    </row>
    <row r="7" customFormat="false" ht="15" hidden="false" customHeight="true" outlineLevel="0" collapsed="false">
      <c r="B7" s="6" t="s">
        <v>138</v>
      </c>
      <c r="C7" s="15" t="n">
        <v>0</v>
      </c>
      <c r="D7" s="13" t="s">
        <v>136</v>
      </c>
      <c r="F7" s="13" t="s">
        <v>222</v>
      </c>
    </row>
    <row r="8" customFormat="false" ht="15" hidden="false" customHeight="true" outlineLevel="0" collapsed="false">
      <c r="B8" s="6" t="s">
        <v>140</v>
      </c>
      <c r="C8" s="25" t="n">
        <v>0</v>
      </c>
      <c r="D8" s="13" t="s">
        <v>141</v>
      </c>
    </row>
    <row r="9" customFormat="false" ht="15" hidden="false" customHeight="true" outlineLevel="0" collapsed="false">
      <c r="B9" s="6" t="s">
        <v>143</v>
      </c>
      <c r="C9" s="12" t="n">
        <v>0.66</v>
      </c>
      <c r="D9" s="13" t="s">
        <v>144</v>
      </c>
    </row>
    <row r="10" customFormat="false" ht="15" hidden="false" customHeight="true" outlineLevel="0" collapsed="false">
      <c r="B10" s="6" t="s">
        <v>146</v>
      </c>
      <c r="C10" s="23" t="n">
        <v>0</v>
      </c>
      <c r="D10" s="13" t="s">
        <v>133</v>
      </c>
    </row>
    <row r="11" customFormat="false" ht="15" hidden="false" customHeight="true" outlineLevel="0" collapsed="false">
      <c r="B11" s="6" t="s">
        <v>148</v>
      </c>
      <c r="C11" s="23" t="n">
        <v>0.72</v>
      </c>
      <c r="D11" s="13" t="s">
        <v>133</v>
      </c>
    </row>
    <row r="12" customFormat="false" ht="15" hidden="false" customHeight="true" outlineLevel="0" collapsed="false">
      <c r="B12" s="6" t="s">
        <v>150</v>
      </c>
      <c r="C12" s="23" t="n">
        <v>0</v>
      </c>
      <c r="D12" s="13" t="s">
        <v>133</v>
      </c>
    </row>
    <row r="13" customFormat="false" ht="15" hidden="false" customHeight="true" outlineLevel="0" collapsed="false">
      <c r="B13" s="6" t="s">
        <v>151</v>
      </c>
      <c r="C13" s="23" t="n">
        <v>0.999</v>
      </c>
      <c r="D13" s="13" t="s">
        <v>133</v>
      </c>
    </row>
    <row r="14" customFormat="false" ht="15" hidden="false" customHeight="true" outlineLevel="0" collapsed="false">
      <c r="B14" s="6" t="s">
        <v>152</v>
      </c>
      <c r="C14" s="12" t="n">
        <v>4.5</v>
      </c>
      <c r="D14" s="13" t="s">
        <v>153</v>
      </c>
    </row>
    <row r="15" customFormat="false" ht="15" hidden="false" customHeight="true" outlineLevel="0" collapsed="false">
      <c r="B15" s="6" t="s">
        <v>154</v>
      </c>
      <c r="C15" s="12" t="n">
        <v>4.5</v>
      </c>
      <c r="D15" s="13" t="s">
        <v>153</v>
      </c>
    </row>
    <row r="16" customFormat="false" ht="15" hidden="false" customHeight="true" outlineLevel="0" collapsed="false">
      <c r="B16" s="6" t="s">
        <v>155</v>
      </c>
      <c r="C16" s="22" t="n">
        <v>2029</v>
      </c>
      <c r="D16" s="13" t="s">
        <v>156</v>
      </c>
    </row>
    <row r="17" customFormat="false" ht="15" hidden="false" customHeight="true" outlineLevel="0" collapsed="false">
      <c r="B17" s="6" t="s">
        <v>157</v>
      </c>
      <c r="C17" s="22" t="n">
        <v>2029</v>
      </c>
      <c r="D17" s="13" t="s">
        <v>156</v>
      </c>
    </row>
    <row r="18" customFormat="false" ht="15" hidden="false" customHeight="true" outlineLevel="0" collapsed="false">
      <c r="B18" s="6" t="s">
        <v>158</v>
      </c>
      <c r="C18" s="12" t="n">
        <v>19</v>
      </c>
      <c r="D18" s="13" t="s">
        <v>159</v>
      </c>
    </row>
    <row r="19" customFormat="false" ht="15" hidden="false" customHeight="true" outlineLevel="0" collapsed="false">
      <c r="B19" s="6" t="s">
        <v>160</v>
      </c>
      <c r="C19" s="12" t="n">
        <v>0</v>
      </c>
      <c r="D19" s="13" t="s">
        <v>161</v>
      </c>
    </row>
    <row r="20" customFormat="false" ht="15" hidden="false" customHeight="true" outlineLevel="0" collapsed="false">
      <c r="B20" s="6" t="s">
        <v>162</v>
      </c>
      <c r="C20" s="24" t="n">
        <v>15</v>
      </c>
      <c r="D20" s="13" t="s">
        <v>163</v>
      </c>
    </row>
    <row r="21" customFormat="false" ht="15" hidden="false" customHeight="true" outlineLevel="0" collapsed="false">
      <c r="B21" s="6" t="s">
        <v>164</v>
      </c>
      <c r="C21" s="24" t="n">
        <v>260</v>
      </c>
      <c r="D21" s="13" t="s">
        <v>165</v>
      </c>
    </row>
    <row r="22" customFormat="false" ht="15" hidden="false" customHeight="true" outlineLevel="0" collapsed="false">
      <c r="B22" s="6" t="s">
        <v>166</v>
      </c>
      <c r="C22" s="22" t="n">
        <v>2027</v>
      </c>
      <c r="D22" s="13" t="s">
        <v>156</v>
      </c>
    </row>
    <row r="23" customFormat="false" ht="15" hidden="false" customHeight="true" outlineLevel="0" collapsed="false">
      <c r="B23" s="6" t="s">
        <v>167</v>
      </c>
      <c r="C23" s="22" t="n">
        <v>2</v>
      </c>
      <c r="D23" s="13" t="s">
        <v>168</v>
      </c>
    </row>
    <row r="24" customFormat="false" ht="15" hidden="false" customHeight="true" outlineLevel="0" collapsed="false">
      <c r="B24" s="6" t="s">
        <v>169</v>
      </c>
      <c r="C24" s="24" t="n">
        <v>30</v>
      </c>
      <c r="D24" s="13" t="s">
        <v>165</v>
      </c>
    </row>
    <row r="25" customFormat="false" ht="15" hidden="false" customHeight="true" outlineLevel="0" collapsed="false">
      <c r="B25" s="6" t="s">
        <v>170</v>
      </c>
      <c r="C25" s="25" t="n">
        <v>0.025</v>
      </c>
      <c r="D25" s="13" t="s">
        <v>171</v>
      </c>
    </row>
    <row r="26" customFormat="false" ht="15" hidden="false" customHeight="true" outlineLevel="0" collapsed="false">
      <c r="B26" s="6" t="s">
        <v>172</v>
      </c>
      <c r="C26" s="23" t="n">
        <v>0.25</v>
      </c>
      <c r="D26" s="13" t="s">
        <v>133</v>
      </c>
    </row>
    <row r="27" customFormat="false" ht="15" hidden="false" customHeight="true" outlineLevel="0" collapsed="false">
      <c r="B27" s="6" t="s">
        <v>173</v>
      </c>
      <c r="C27" s="25" t="n">
        <v>0</v>
      </c>
      <c r="D27" s="13" t="s">
        <v>174</v>
      </c>
    </row>
    <row r="28" customFormat="false" ht="15" hidden="false" customHeight="true" outlineLevel="0" collapsed="false">
      <c r="B28" s="6" t="s">
        <v>175</v>
      </c>
      <c r="C28" s="14" t="n">
        <v>0</v>
      </c>
      <c r="D28" s="13" t="s">
        <v>50</v>
      </c>
    </row>
    <row r="29" customFormat="false" ht="15" hidden="false" customHeight="true" outlineLevel="0" collapsed="false">
      <c r="B29" s="6" t="s">
        <v>176</v>
      </c>
      <c r="C29" s="25" t="n">
        <v>0</v>
      </c>
      <c r="D29" s="13" t="s">
        <v>177</v>
      </c>
    </row>
    <row r="30" customFormat="false" ht="15" hidden="false" customHeight="true" outlineLevel="0" collapsed="false">
      <c r="B30" s="6" t="s">
        <v>178</v>
      </c>
      <c r="C30" s="23" t="n">
        <v>0</v>
      </c>
      <c r="D30" s="13" t="s">
        <v>179</v>
      </c>
    </row>
    <row r="31" customFormat="false" ht="15" hidden="false" customHeight="true" outlineLevel="0" collapsed="false">
      <c r="B31" s="5" t="s">
        <v>66</v>
      </c>
      <c r="C31" s="26" t="n">
        <f aca="false">Inputs!$C$24</f>
        <v>0.05</v>
      </c>
      <c r="D31" s="13" t="s">
        <v>180</v>
      </c>
    </row>
    <row r="34" customFormat="false" ht="15" hidden="false" customHeight="true" outlineLevel="0" collapsed="false">
      <c r="B34" s="4" t="s">
        <v>181</v>
      </c>
      <c r="C34" s="4" t="s">
        <v>130</v>
      </c>
      <c r="D34" s="4" t="s">
        <v>182</v>
      </c>
      <c r="F34" s="4" t="n">
        <v>2027</v>
      </c>
      <c r="G34" s="4" t="n">
        <v>2028</v>
      </c>
      <c r="H34" s="4" t="n">
        <v>2029</v>
      </c>
      <c r="I34" s="4" t="n">
        <v>2030</v>
      </c>
      <c r="J34" s="4" t="n">
        <v>2031</v>
      </c>
      <c r="K34" s="4" t="n">
        <v>2032</v>
      </c>
      <c r="L34" s="4" t="n">
        <v>2033</v>
      </c>
      <c r="M34" s="4" t="n">
        <v>2034</v>
      </c>
      <c r="N34" s="4" t="n">
        <v>2035</v>
      </c>
      <c r="O34" s="4" t="n">
        <v>2036</v>
      </c>
      <c r="P34" s="4" t="n">
        <v>2037</v>
      </c>
      <c r="Q34" s="4" t="n">
        <v>2038</v>
      </c>
      <c r="R34" s="4" t="n">
        <v>2039</v>
      </c>
      <c r="S34" s="4" t="n">
        <v>2040</v>
      </c>
      <c r="T34" s="4" t="n">
        <v>2041</v>
      </c>
      <c r="U34" s="4" t="n">
        <v>2042</v>
      </c>
      <c r="V34" s="4" t="n">
        <v>2043</v>
      </c>
      <c r="W34" s="4" t="n">
        <v>2044</v>
      </c>
      <c r="X34" s="4" t="n">
        <v>2045</v>
      </c>
      <c r="Y34" s="4" t="n">
        <v>2046</v>
      </c>
      <c r="Z34" s="4" t="n">
        <v>2047</v>
      </c>
      <c r="AA34" s="4" t="n">
        <v>2048</v>
      </c>
      <c r="AB34" s="4" t="n">
        <v>2049</v>
      </c>
      <c r="AC34" s="4" t="n">
        <v>2050</v>
      </c>
    </row>
    <row r="35" customFormat="false" ht="15" hidden="false" customHeight="true" outlineLevel="0" collapsed="false">
      <c r="B35" s="6" t="s">
        <v>183</v>
      </c>
      <c r="C35" s="13"/>
      <c r="F35" s="27" t="n">
        <f aca="false">F$34-2027+1</f>
        <v>1</v>
      </c>
      <c r="G35" s="27" t="n">
        <f aca="false">G$34-2027+1</f>
        <v>2</v>
      </c>
      <c r="H35" s="27" t="n">
        <f aca="false">H$34-2027+1</f>
        <v>3</v>
      </c>
      <c r="I35" s="27" t="n">
        <f aca="false">I$34-2027+1</f>
        <v>4</v>
      </c>
      <c r="J35" s="27" t="n">
        <f aca="false">J$34-2027+1</f>
        <v>5</v>
      </c>
      <c r="K35" s="27" t="n">
        <f aca="false">K$34-2027+1</f>
        <v>6</v>
      </c>
      <c r="L35" s="27" t="n">
        <f aca="false">L$34-2027+1</f>
        <v>7</v>
      </c>
      <c r="M35" s="27" t="n">
        <f aca="false">M$34-2027+1</f>
        <v>8</v>
      </c>
      <c r="N35" s="27" t="n">
        <f aca="false">N$34-2027+1</f>
        <v>9</v>
      </c>
      <c r="O35" s="27" t="n">
        <f aca="false">O$34-2027+1</f>
        <v>10</v>
      </c>
      <c r="P35" s="27" t="n">
        <f aca="false">P$34-2027+1</f>
        <v>11</v>
      </c>
      <c r="Q35" s="27" t="n">
        <f aca="false">Q$34-2027+1</f>
        <v>12</v>
      </c>
      <c r="R35" s="27" t="n">
        <f aca="false">R$34-2027+1</f>
        <v>13</v>
      </c>
      <c r="S35" s="27" t="n">
        <f aca="false">S$34-2027+1</f>
        <v>14</v>
      </c>
      <c r="T35" s="27" t="n">
        <f aca="false">T$34-2027+1</f>
        <v>15</v>
      </c>
      <c r="U35" s="27" t="n">
        <f aca="false">U$34-2027+1</f>
        <v>16</v>
      </c>
      <c r="V35" s="27" t="n">
        <f aca="false">V$34-2027+1</f>
        <v>17</v>
      </c>
      <c r="W35" s="27" t="n">
        <f aca="false">W$34-2027+1</f>
        <v>18</v>
      </c>
      <c r="X35" s="27" t="n">
        <f aca="false">X$34-2027+1</f>
        <v>19</v>
      </c>
      <c r="Y35" s="27" t="n">
        <f aca="false">Y$34-2027+1</f>
        <v>20</v>
      </c>
      <c r="Z35" s="27" t="n">
        <f aca="false">Z$34-2027+1</f>
        <v>21</v>
      </c>
      <c r="AA35" s="27" t="n">
        <f aca="false">AA$34-2027+1</f>
        <v>22</v>
      </c>
      <c r="AB35" s="27" t="n">
        <f aca="false">AB$34-2027+1</f>
        <v>23</v>
      </c>
      <c r="AC35" s="27" t="n">
        <f aca="false">AC$34-2027+1</f>
        <v>24</v>
      </c>
    </row>
    <row r="36" customFormat="false" ht="15" hidden="false" customHeight="true" outlineLevel="0" collapsed="false">
      <c r="B36" s="6" t="s">
        <v>184</v>
      </c>
      <c r="C36" s="13" t="s">
        <v>47</v>
      </c>
      <c r="F36" s="28" t="n">
        <f aca="false">Inputs!F$18</f>
        <v>6</v>
      </c>
      <c r="G36" s="28" t="n">
        <f aca="false">Inputs!G$18</f>
        <v>5.5</v>
      </c>
      <c r="H36" s="28" t="n">
        <f aca="false">Inputs!H$18</f>
        <v>5</v>
      </c>
      <c r="I36" s="28" t="n">
        <f aca="false">Inputs!I$18</f>
        <v>5</v>
      </c>
      <c r="J36" s="28" t="n">
        <f aca="false">Inputs!J$18</f>
        <v>5</v>
      </c>
      <c r="K36" s="28" t="n">
        <f aca="false">Inputs!K$18</f>
        <v>5</v>
      </c>
      <c r="L36" s="28" t="n">
        <f aca="false">Inputs!L$18</f>
        <v>5</v>
      </c>
      <c r="M36" s="28" t="n">
        <f aca="false">Inputs!M$18</f>
        <v>5</v>
      </c>
      <c r="N36" s="28" t="n">
        <f aca="false">Inputs!N$18</f>
        <v>5</v>
      </c>
      <c r="O36" s="28" t="n">
        <f aca="false">Inputs!O$18</f>
        <v>5</v>
      </c>
      <c r="P36" s="28" t="n">
        <f aca="false">Inputs!P$18</f>
        <v>5</v>
      </c>
      <c r="Q36" s="28" t="n">
        <f aca="false">Inputs!Q$18</f>
        <v>5</v>
      </c>
      <c r="R36" s="28" t="n">
        <f aca="false">Inputs!R$18</f>
        <v>5</v>
      </c>
      <c r="S36" s="28" t="n">
        <f aca="false">Inputs!S$18</f>
        <v>5</v>
      </c>
      <c r="T36" s="28" t="n">
        <f aca="false">Inputs!T$18</f>
        <v>5</v>
      </c>
      <c r="U36" s="28" t="n">
        <f aca="false">Inputs!U$18</f>
        <v>5</v>
      </c>
      <c r="V36" s="28" t="n">
        <f aca="false">Inputs!V$18</f>
        <v>5</v>
      </c>
      <c r="W36" s="28" t="n">
        <f aca="false">Inputs!W$18</f>
        <v>5</v>
      </c>
      <c r="X36" s="28" t="n">
        <f aca="false">Inputs!X$18</f>
        <v>5</v>
      </c>
      <c r="Y36" s="28" t="n">
        <f aca="false">Inputs!Y$18</f>
        <v>5</v>
      </c>
      <c r="Z36" s="28" t="n">
        <f aca="false">Inputs!Z$18</f>
        <v>5</v>
      </c>
      <c r="AA36" s="28" t="n">
        <f aca="false">Inputs!AA$18</f>
        <v>5</v>
      </c>
      <c r="AB36" s="28" t="n">
        <f aca="false">Inputs!AB$18</f>
        <v>5</v>
      </c>
      <c r="AC36" s="28" t="n">
        <f aca="false">Inputs!AC$18</f>
        <v>5</v>
      </c>
    </row>
    <row r="37" customFormat="false" ht="15" hidden="false" customHeight="true" outlineLevel="0" collapsed="false">
      <c r="B37" s="6" t="s">
        <v>185</v>
      </c>
      <c r="C37" s="13" t="s">
        <v>50</v>
      </c>
      <c r="F37" s="29" t="n">
        <f aca="false">Inputs!F$19</f>
        <v>3900</v>
      </c>
      <c r="G37" s="29" t="n">
        <f aca="false">Inputs!G$19</f>
        <v>3600</v>
      </c>
      <c r="H37" s="29" t="n">
        <f aca="false">Inputs!H$19</f>
        <v>3300</v>
      </c>
      <c r="I37" s="29" t="n">
        <f aca="false">Inputs!I$19</f>
        <v>3300</v>
      </c>
      <c r="J37" s="29" t="n">
        <f aca="false">Inputs!J$19</f>
        <v>3300</v>
      </c>
      <c r="K37" s="29" t="n">
        <f aca="false">Inputs!K$19</f>
        <v>3300</v>
      </c>
      <c r="L37" s="29" t="n">
        <f aca="false">Inputs!L$19</f>
        <v>3300</v>
      </c>
      <c r="M37" s="29" t="n">
        <f aca="false">Inputs!M$19</f>
        <v>3300</v>
      </c>
      <c r="N37" s="29" t="n">
        <f aca="false">Inputs!N$19</f>
        <v>3300</v>
      </c>
      <c r="O37" s="29" t="n">
        <f aca="false">Inputs!O$19</f>
        <v>3300</v>
      </c>
      <c r="P37" s="29" t="n">
        <f aca="false">Inputs!P$19</f>
        <v>3300</v>
      </c>
      <c r="Q37" s="29" t="n">
        <f aca="false">Inputs!Q$19</f>
        <v>3300</v>
      </c>
      <c r="R37" s="29" t="n">
        <f aca="false">Inputs!R$19</f>
        <v>3300</v>
      </c>
      <c r="S37" s="29" t="n">
        <f aca="false">Inputs!S$19</f>
        <v>3300</v>
      </c>
      <c r="T37" s="29" t="n">
        <f aca="false">Inputs!T$19</f>
        <v>3300</v>
      </c>
      <c r="U37" s="29" t="n">
        <f aca="false">Inputs!U$19</f>
        <v>3300</v>
      </c>
      <c r="V37" s="29" t="n">
        <f aca="false">Inputs!V$19</f>
        <v>3300</v>
      </c>
      <c r="W37" s="29" t="n">
        <f aca="false">Inputs!W$19</f>
        <v>3300</v>
      </c>
      <c r="X37" s="29" t="n">
        <f aca="false">Inputs!X$19</f>
        <v>3300</v>
      </c>
      <c r="Y37" s="29" t="n">
        <f aca="false">Inputs!Y$19</f>
        <v>3300</v>
      </c>
      <c r="Z37" s="29" t="n">
        <f aca="false">Inputs!Z$19</f>
        <v>3300</v>
      </c>
      <c r="AA37" s="29" t="n">
        <f aca="false">Inputs!AA$19</f>
        <v>3300</v>
      </c>
      <c r="AB37" s="29" t="n">
        <f aca="false">Inputs!AB$19</f>
        <v>3300</v>
      </c>
      <c r="AC37" s="29" t="n">
        <f aca="false">Inputs!AC$19</f>
        <v>3300</v>
      </c>
    </row>
    <row r="38" customFormat="false" ht="15" hidden="false" customHeight="true" outlineLevel="0" collapsed="false">
      <c r="B38" s="6" t="s">
        <v>186</v>
      </c>
      <c r="C38" s="13" t="s">
        <v>136</v>
      </c>
      <c r="F38" s="19" t="n">
        <f aca="false">IF(F$34&lt;$C$17,0,IF(F$34&gt;=$C$16,$C$15,$C$14))</f>
        <v>0</v>
      </c>
      <c r="G38" s="19" t="n">
        <f aca="false">IF(G$34&lt;$C$17,0,IF(G$34&gt;=$C$16,$C$15,$C$14))</f>
        <v>0</v>
      </c>
      <c r="H38" s="19" t="n">
        <f aca="false">IF(H$34&lt;$C$17,0,IF(H$34&gt;=$C$16,$C$15,$C$14))</f>
        <v>4.5</v>
      </c>
      <c r="I38" s="19" t="n">
        <f aca="false">IF(I$34&lt;$C$17,0,IF(I$34&gt;=$C$16,$C$15,$C$14))</f>
        <v>4.5</v>
      </c>
      <c r="J38" s="19" t="n">
        <f aca="false">IF(J$34&lt;$C$17,0,IF(J$34&gt;=$C$16,$C$15,$C$14))</f>
        <v>4.5</v>
      </c>
      <c r="K38" s="19" t="n">
        <f aca="false">IF(K$34&lt;$C$17,0,IF(K$34&gt;=$C$16,$C$15,$C$14))</f>
        <v>4.5</v>
      </c>
      <c r="L38" s="19" t="n">
        <f aca="false">IF(L$34&lt;$C$17,0,IF(L$34&gt;=$C$16,$C$15,$C$14))</f>
        <v>4.5</v>
      </c>
      <c r="M38" s="19" t="n">
        <f aca="false">IF(M$34&lt;$C$17,0,IF(M$34&gt;=$C$16,$C$15,$C$14))</f>
        <v>4.5</v>
      </c>
      <c r="N38" s="19" t="n">
        <f aca="false">IF(N$34&lt;$C$17,0,IF(N$34&gt;=$C$16,$C$15,$C$14))</f>
        <v>4.5</v>
      </c>
      <c r="O38" s="19" t="n">
        <f aca="false">IF(O$34&lt;$C$17,0,IF(O$34&gt;=$C$16,$C$15,$C$14))</f>
        <v>4.5</v>
      </c>
      <c r="P38" s="19" t="n">
        <f aca="false">IF(P$34&lt;$C$17,0,IF(P$34&gt;=$C$16,$C$15,$C$14))</f>
        <v>4.5</v>
      </c>
      <c r="Q38" s="19" t="n">
        <f aca="false">IF(Q$34&lt;$C$17,0,IF(Q$34&gt;=$C$16,$C$15,$C$14))</f>
        <v>4.5</v>
      </c>
      <c r="R38" s="19" t="n">
        <f aca="false">IF(R$34&lt;$C$17,0,IF(R$34&gt;=$C$16,$C$15,$C$14))</f>
        <v>4.5</v>
      </c>
      <c r="S38" s="19" t="n">
        <f aca="false">IF(S$34&lt;$C$17,0,IF(S$34&gt;=$C$16,$C$15,$C$14))</f>
        <v>4.5</v>
      </c>
      <c r="T38" s="19" t="n">
        <f aca="false">IF(T$34&lt;$C$17,0,IF(T$34&gt;=$C$16,$C$15,$C$14))</f>
        <v>4.5</v>
      </c>
      <c r="U38" s="19" t="n">
        <f aca="false">IF(U$34&lt;$C$17,0,IF(U$34&gt;=$C$16,$C$15,$C$14))</f>
        <v>4.5</v>
      </c>
      <c r="V38" s="19" t="n">
        <f aca="false">IF(V$34&lt;$C$17,0,IF(V$34&gt;=$C$16,$C$15,$C$14))</f>
        <v>4.5</v>
      </c>
      <c r="W38" s="19" t="n">
        <f aca="false">IF(W$34&lt;$C$17,0,IF(W$34&gt;=$C$16,$C$15,$C$14))</f>
        <v>4.5</v>
      </c>
      <c r="X38" s="19" t="n">
        <f aca="false">IF(X$34&lt;$C$17,0,IF(X$34&gt;=$C$16,$C$15,$C$14))</f>
        <v>4.5</v>
      </c>
      <c r="Y38" s="19" t="n">
        <f aca="false">IF(Y$34&lt;$C$17,0,IF(Y$34&gt;=$C$16,$C$15,$C$14))</f>
        <v>4.5</v>
      </c>
      <c r="Z38" s="19" t="n">
        <f aca="false">IF(Z$34&lt;$C$17,0,IF(Z$34&gt;=$C$16,$C$15,$C$14))</f>
        <v>4.5</v>
      </c>
      <c r="AA38" s="19" t="n">
        <f aca="false">IF(AA$34&lt;$C$17,0,IF(AA$34&gt;=$C$16,$C$15,$C$14))</f>
        <v>4.5</v>
      </c>
      <c r="AB38" s="19" t="n">
        <f aca="false">IF(AB$34&lt;$C$17,0,IF(AB$34&gt;=$C$16,$C$15,$C$14))</f>
        <v>4.5</v>
      </c>
      <c r="AC38" s="19" t="n">
        <f aca="false">IF(AC$34&lt;$C$17,0,IF(AC$34&gt;=$C$16,$C$15,$C$14))</f>
        <v>4.5</v>
      </c>
    </row>
    <row r="39" customFormat="false" ht="15" hidden="false" customHeight="true" outlineLevel="0" collapsed="false">
      <c r="B39" s="6" t="s">
        <v>187</v>
      </c>
      <c r="C39" s="13" t="s">
        <v>136</v>
      </c>
      <c r="F39" s="30" t="n">
        <f aca="false">$C$6-$C$7</f>
        <v>33.348</v>
      </c>
      <c r="G39" s="30" t="n">
        <f aca="false">F41</f>
        <v>33.348</v>
      </c>
      <c r="H39" s="30" t="n">
        <f aca="false">G41</f>
        <v>33.348</v>
      </c>
      <c r="I39" s="30" t="n">
        <f aca="false">H41</f>
        <v>28.848</v>
      </c>
      <c r="J39" s="30" t="n">
        <f aca="false">I41</f>
        <v>24.348</v>
      </c>
      <c r="K39" s="30" t="n">
        <f aca="false">J41</f>
        <v>19.848</v>
      </c>
      <c r="L39" s="30" t="n">
        <f aca="false">K41</f>
        <v>15.348</v>
      </c>
      <c r="M39" s="30" t="n">
        <f aca="false">L41</f>
        <v>10.848</v>
      </c>
      <c r="N39" s="30" t="n">
        <f aca="false">M41</f>
        <v>6.348</v>
      </c>
      <c r="O39" s="30" t="n">
        <f aca="false">N41</f>
        <v>1.848</v>
      </c>
      <c r="P39" s="30" t="n">
        <f aca="false">O41</f>
        <v>0</v>
      </c>
      <c r="Q39" s="30" t="n">
        <f aca="false">P41</f>
        <v>0</v>
      </c>
      <c r="R39" s="30" t="n">
        <f aca="false">Q41</f>
        <v>0</v>
      </c>
      <c r="S39" s="30" t="n">
        <f aca="false">R41</f>
        <v>0</v>
      </c>
      <c r="T39" s="30" t="n">
        <f aca="false">S41</f>
        <v>0</v>
      </c>
      <c r="U39" s="30" t="n">
        <f aca="false">T41</f>
        <v>0</v>
      </c>
      <c r="V39" s="30" t="n">
        <f aca="false">U41</f>
        <v>0</v>
      </c>
      <c r="W39" s="30" t="n">
        <f aca="false">V41</f>
        <v>0</v>
      </c>
      <c r="X39" s="30" t="n">
        <f aca="false">W41</f>
        <v>0</v>
      </c>
      <c r="Y39" s="30" t="n">
        <f aca="false">X41</f>
        <v>0</v>
      </c>
      <c r="Z39" s="30" t="n">
        <f aca="false">Y41</f>
        <v>0</v>
      </c>
      <c r="AA39" s="30" t="n">
        <f aca="false">Z41</f>
        <v>0</v>
      </c>
      <c r="AB39" s="30" t="n">
        <f aca="false">AA41</f>
        <v>0</v>
      </c>
      <c r="AC39" s="30" t="n">
        <f aca="false">AB41</f>
        <v>0</v>
      </c>
    </row>
    <row r="40" customFormat="false" ht="15" hidden="false" customHeight="true" outlineLevel="0" collapsed="false">
      <c r="B40" s="6" t="s">
        <v>188</v>
      </c>
      <c r="C40" s="13" t="s">
        <v>136</v>
      </c>
      <c r="D40" s="19" t="n">
        <f aca="false">SUM(F40:AC40)</f>
        <v>33.348</v>
      </c>
      <c r="F40" s="19" t="n">
        <f aca="false">MAX(0,MIN(F38,F39))</f>
        <v>0</v>
      </c>
      <c r="G40" s="19" t="n">
        <f aca="false">MAX(0,MIN(G38,G39))</f>
        <v>0</v>
      </c>
      <c r="H40" s="19" t="n">
        <f aca="false">MAX(0,MIN(H38,H39))</f>
        <v>4.5</v>
      </c>
      <c r="I40" s="19" t="n">
        <f aca="false">MAX(0,MIN(I38,I39))</f>
        <v>4.5</v>
      </c>
      <c r="J40" s="19" t="n">
        <f aca="false">MAX(0,MIN(J38,J39))</f>
        <v>4.5</v>
      </c>
      <c r="K40" s="19" t="n">
        <f aca="false">MAX(0,MIN(K38,K39))</f>
        <v>4.5</v>
      </c>
      <c r="L40" s="19" t="n">
        <f aca="false">MAX(0,MIN(L38,L39))</f>
        <v>4.5</v>
      </c>
      <c r="M40" s="19" t="n">
        <f aca="false">MAX(0,MIN(M38,M39))</f>
        <v>4.5</v>
      </c>
      <c r="N40" s="19" t="n">
        <f aca="false">MAX(0,MIN(N38,N39))</f>
        <v>4.5</v>
      </c>
      <c r="O40" s="19" t="n">
        <f aca="false">MAX(0,MIN(O38,O39))</f>
        <v>1.848</v>
      </c>
      <c r="P40" s="19" t="n">
        <f aca="false">MAX(0,MIN(P38,P39))</f>
        <v>0</v>
      </c>
      <c r="Q40" s="19" t="n">
        <f aca="false">MAX(0,MIN(Q38,Q39))</f>
        <v>0</v>
      </c>
      <c r="R40" s="19" t="n">
        <f aca="false">MAX(0,MIN(R38,R39))</f>
        <v>0</v>
      </c>
      <c r="S40" s="19" t="n">
        <f aca="false">MAX(0,MIN(S38,S39))</f>
        <v>0</v>
      </c>
      <c r="T40" s="19" t="n">
        <f aca="false">MAX(0,MIN(T38,T39))</f>
        <v>0</v>
      </c>
      <c r="U40" s="19" t="n">
        <f aca="false">MAX(0,MIN(U38,U39))</f>
        <v>0</v>
      </c>
      <c r="V40" s="19" t="n">
        <f aca="false">MAX(0,MIN(V38,V39))</f>
        <v>0</v>
      </c>
      <c r="W40" s="19" t="n">
        <f aca="false">MAX(0,MIN(W38,W39))</f>
        <v>0</v>
      </c>
      <c r="X40" s="19" t="n">
        <f aca="false">MAX(0,MIN(X38,X39))</f>
        <v>0</v>
      </c>
      <c r="Y40" s="19" t="n">
        <f aca="false">MAX(0,MIN(Y38,Y39))</f>
        <v>0</v>
      </c>
      <c r="Z40" s="19" t="n">
        <f aca="false">MAX(0,MIN(Z38,Z39))</f>
        <v>0</v>
      </c>
      <c r="AA40" s="19" t="n">
        <f aca="false">MAX(0,MIN(AA38,AA39))</f>
        <v>0</v>
      </c>
      <c r="AB40" s="19" t="n">
        <f aca="false">MAX(0,MIN(AB38,AB39))</f>
        <v>0</v>
      </c>
      <c r="AC40" s="19" t="n">
        <f aca="false">MAX(0,MIN(AC38,AC39))</f>
        <v>0</v>
      </c>
    </row>
    <row r="41" customFormat="false" ht="15" hidden="false" customHeight="true" outlineLevel="0" collapsed="false">
      <c r="B41" s="6" t="s">
        <v>189</v>
      </c>
      <c r="C41" s="13" t="s">
        <v>136</v>
      </c>
      <c r="F41" s="30" t="n">
        <f aca="false">F39-F40</f>
        <v>33.348</v>
      </c>
      <c r="G41" s="30" t="n">
        <f aca="false">G39-G40</f>
        <v>33.348</v>
      </c>
      <c r="H41" s="30" t="n">
        <f aca="false">H39-H40</f>
        <v>28.848</v>
      </c>
      <c r="I41" s="30" t="n">
        <f aca="false">I39-I40</f>
        <v>24.348</v>
      </c>
      <c r="J41" s="30" t="n">
        <f aca="false">J39-J40</f>
        <v>19.848</v>
      </c>
      <c r="K41" s="30" t="n">
        <f aca="false">K39-K40</f>
        <v>15.348</v>
      </c>
      <c r="L41" s="30" t="n">
        <f aca="false">L39-L40</f>
        <v>10.848</v>
      </c>
      <c r="M41" s="30" t="n">
        <f aca="false">M39-M40</f>
        <v>6.348</v>
      </c>
      <c r="N41" s="30" t="n">
        <f aca="false">N39-N40</f>
        <v>1.848</v>
      </c>
      <c r="O41" s="30" t="n">
        <f aca="false">O39-O40</f>
        <v>0</v>
      </c>
      <c r="P41" s="30" t="n">
        <f aca="false">P39-P40</f>
        <v>0</v>
      </c>
      <c r="Q41" s="30" t="n">
        <f aca="false">Q39-Q40</f>
        <v>0</v>
      </c>
      <c r="R41" s="30" t="n">
        <f aca="false">R39-R40</f>
        <v>0</v>
      </c>
      <c r="S41" s="30" t="n">
        <f aca="false">S39-S40</f>
        <v>0</v>
      </c>
      <c r="T41" s="30" t="n">
        <f aca="false">T39-T40</f>
        <v>0</v>
      </c>
      <c r="U41" s="30" t="n">
        <f aca="false">U39-U40</f>
        <v>0</v>
      </c>
      <c r="V41" s="30" t="n">
        <f aca="false">V39-V40</f>
        <v>0</v>
      </c>
      <c r="W41" s="30" t="n">
        <f aca="false">W39-W40</f>
        <v>0</v>
      </c>
      <c r="X41" s="30" t="n">
        <f aca="false">X39-X40</f>
        <v>0</v>
      </c>
      <c r="Y41" s="30" t="n">
        <f aca="false">Y39-Y40</f>
        <v>0</v>
      </c>
      <c r="Z41" s="30" t="n">
        <f aca="false">Z39-Z40</f>
        <v>0</v>
      </c>
      <c r="AA41" s="30" t="n">
        <f aca="false">AA39-AA40</f>
        <v>0</v>
      </c>
      <c r="AB41" s="30" t="n">
        <f aca="false">AB39-AB40</f>
        <v>0</v>
      </c>
      <c r="AC41" s="30" t="n">
        <f aca="false">AC39-AC40</f>
        <v>0</v>
      </c>
    </row>
    <row r="42" customFormat="false" ht="15" hidden="false" customHeight="true" outlineLevel="0" collapsed="false">
      <c r="B42" s="6" t="s">
        <v>190</v>
      </c>
      <c r="C42" s="13" t="s">
        <v>191</v>
      </c>
      <c r="D42" s="30" t="n">
        <f aca="false">SUM(F42:AC42)</f>
        <v>0</v>
      </c>
      <c r="F42" s="30" t="n">
        <f aca="false">F40*$C$8*$C$10*$C$12*2204.62</f>
        <v>0</v>
      </c>
      <c r="G42" s="30" t="n">
        <f aca="false">G40*$C$8*$C$10*$C$12*2204.62</f>
        <v>0</v>
      </c>
      <c r="H42" s="30" t="n">
        <f aca="false">H40*$C$8*$C$10*$C$12*2204.62</f>
        <v>0</v>
      </c>
      <c r="I42" s="30" t="n">
        <f aca="false">I40*$C$8*$C$10*$C$12*2204.62</f>
        <v>0</v>
      </c>
      <c r="J42" s="30" t="n">
        <f aca="false">J40*$C$8*$C$10*$C$12*2204.62</f>
        <v>0</v>
      </c>
      <c r="K42" s="30" t="n">
        <f aca="false">K40*$C$8*$C$10*$C$12*2204.62</f>
        <v>0</v>
      </c>
      <c r="L42" s="30" t="n">
        <f aca="false">L40*$C$8*$C$10*$C$12*2204.62</f>
        <v>0</v>
      </c>
      <c r="M42" s="30" t="n">
        <f aca="false">M40*$C$8*$C$10*$C$12*2204.62</f>
        <v>0</v>
      </c>
      <c r="N42" s="30" t="n">
        <f aca="false">N40*$C$8*$C$10*$C$12*2204.62</f>
        <v>0</v>
      </c>
      <c r="O42" s="30" t="n">
        <f aca="false">O40*$C$8*$C$10*$C$12*2204.62</f>
        <v>0</v>
      </c>
      <c r="P42" s="30" t="n">
        <f aca="false">P40*$C$8*$C$10*$C$12*2204.62</f>
        <v>0</v>
      </c>
      <c r="Q42" s="30" t="n">
        <f aca="false">Q40*$C$8*$C$10*$C$12*2204.62</f>
        <v>0</v>
      </c>
      <c r="R42" s="30" t="n">
        <f aca="false">R40*$C$8*$C$10*$C$12*2204.62</f>
        <v>0</v>
      </c>
      <c r="S42" s="30" t="n">
        <f aca="false">S40*$C$8*$C$10*$C$12*2204.62</f>
        <v>0</v>
      </c>
      <c r="T42" s="30" t="n">
        <f aca="false">T40*$C$8*$C$10*$C$12*2204.62</f>
        <v>0</v>
      </c>
      <c r="U42" s="30" t="n">
        <f aca="false">U40*$C$8*$C$10*$C$12*2204.62</f>
        <v>0</v>
      </c>
      <c r="V42" s="30" t="n">
        <f aca="false">V40*$C$8*$C$10*$C$12*2204.62</f>
        <v>0</v>
      </c>
      <c r="W42" s="30" t="n">
        <f aca="false">W40*$C$8*$C$10*$C$12*2204.62</f>
        <v>0</v>
      </c>
      <c r="X42" s="30" t="n">
        <f aca="false">X40*$C$8*$C$10*$C$12*2204.62</f>
        <v>0</v>
      </c>
      <c r="Y42" s="30" t="n">
        <f aca="false">Y40*$C$8*$C$10*$C$12*2204.62</f>
        <v>0</v>
      </c>
      <c r="Z42" s="30" t="n">
        <f aca="false">Z40*$C$8*$C$10*$C$12*2204.62</f>
        <v>0</v>
      </c>
      <c r="AA42" s="30" t="n">
        <f aca="false">AA40*$C$8*$C$10*$C$12*2204.62</f>
        <v>0</v>
      </c>
      <c r="AB42" s="30" t="n">
        <f aca="false">AB40*$C$8*$C$10*$C$12*2204.62</f>
        <v>0</v>
      </c>
      <c r="AC42" s="30" t="n">
        <f aca="false">AC40*$C$8*$C$10*$C$12*2204.62</f>
        <v>0</v>
      </c>
    </row>
    <row r="43" customFormat="false" ht="15" hidden="false" customHeight="true" outlineLevel="0" collapsed="false">
      <c r="B43" s="6" t="s">
        <v>192</v>
      </c>
      <c r="C43" s="13" t="s">
        <v>193</v>
      </c>
      <c r="D43" s="30" t="n">
        <f aca="false">SUM(F43:AC43)</f>
        <v>508.982031938528</v>
      </c>
      <c r="F43" s="30" t="n">
        <f aca="false">F40*$C$9*$C$11*$C$13*1000/31.1035</f>
        <v>0</v>
      </c>
      <c r="G43" s="30" t="n">
        <f aca="false">G40*$C$9*$C$11*$C$13*1000/31.1035</f>
        <v>0</v>
      </c>
      <c r="H43" s="30" t="n">
        <f aca="false">H40*$C$9*$C$11*$C$13*1000/31.1035</f>
        <v>68.6823540759079</v>
      </c>
      <c r="I43" s="30" t="n">
        <f aca="false">I40*$C$9*$C$11*$C$13*1000/31.1035</f>
        <v>68.6823540759079</v>
      </c>
      <c r="J43" s="30" t="n">
        <f aca="false">J40*$C$9*$C$11*$C$13*1000/31.1035</f>
        <v>68.6823540759079</v>
      </c>
      <c r="K43" s="30" t="n">
        <f aca="false">K40*$C$9*$C$11*$C$13*1000/31.1035</f>
        <v>68.6823540759079</v>
      </c>
      <c r="L43" s="30" t="n">
        <f aca="false">L40*$C$9*$C$11*$C$13*1000/31.1035</f>
        <v>68.6823540759079</v>
      </c>
      <c r="M43" s="30" t="n">
        <f aca="false">M40*$C$9*$C$11*$C$13*1000/31.1035</f>
        <v>68.6823540759079</v>
      </c>
      <c r="N43" s="30" t="n">
        <f aca="false">N40*$C$9*$C$11*$C$13*1000/31.1035</f>
        <v>68.6823540759079</v>
      </c>
      <c r="O43" s="30" t="n">
        <f aca="false">O40*$C$9*$C$11*$C$13*1000/31.1035</f>
        <v>28.2055534071728</v>
      </c>
      <c r="P43" s="30" t="n">
        <f aca="false">P40*$C$9*$C$11*$C$13*1000/31.1035</f>
        <v>0</v>
      </c>
      <c r="Q43" s="30" t="n">
        <f aca="false">Q40*$C$9*$C$11*$C$13*1000/31.1035</f>
        <v>0</v>
      </c>
      <c r="R43" s="30" t="n">
        <f aca="false">R40*$C$9*$C$11*$C$13*1000/31.1035</f>
        <v>0</v>
      </c>
      <c r="S43" s="30" t="n">
        <f aca="false">S40*$C$9*$C$11*$C$13*1000/31.1035</f>
        <v>0</v>
      </c>
      <c r="T43" s="30" t="n">
        <f aca="false">T40*$C$9*$C$11*$C$13*1000/31.1035</f>
        <v>0</v>
      </c>
      <c r="U43" s="30" t="n">
        <f aca="false">U40*$C$9*$C$11*$C$13*1000/31.1035</f>
        <v>0</v>
      </c>
      <c r="V43" s="30" t="n">
        <f aca="false">V40*$C$9*$C$11*$C$13*1000/31.1035</f>
        <v>0</v>
      </c>
      <c r="W43" s="30" t="n">
        <f aca="false">W40*$C$9*$C$11*$C$13*1000/31.1035</f>
        <v>0</v>
      </c>
      <c r="X43" s="30" t="n">
        <f aca="false">X40*$C$9*$C$11*$C$13*1000/31.1035</f>
        <v>0</v>
      </c>
      <c r="Y43" s="30" t="n">
        <f aca="false">Y40*$C$9*$C$11*$C$13*1000/31.1035</f>
        <v>0</v>
      </c>
      <c r="Z43" s="30" t="n">
        <f aca="false">Z40*$C$9*$C$11*$C$13*1000/31.1035</f>
        <v>0</v>
      </c>
      <c r="AA43" s="30" t="n">
        <f aca="false">AA40*$C$9*$C$11*$C$13*1000/31.1035</f>
        <v>0</v>
      </c>
      <c r="AB43" s="30" t="n">
        <f aca="false">AB40*$C$9*$C$11*$C$13*1000/31.1035</f>
        <v>0</v>
      </c>
      <c r="AC43" s="30" t="n">
        <f aca="false">AC40*$C$9*$C$11*$C$13*1000/31.1035</f>
        <v>0</v>
      </c>
    </row>
    <row r="44" customFormat="false" ht="15" hidden="false" customHeight="true" outlineLevel="0" collapsed="false">
      <c r="B44" s="6" t="s">
        <v>194</v>
      </c>
      <c r="C44" s="13" t="s">
        <v>47</v>
      </c>
      <c r="F44" s="19" t="n">
        <f aca="false">F36*(1-$C$29)+F36*$C$29*$C$30</f>
        <v>6</v>
      </c>
      <c r="G44" s="19" t="n">
        <f aca="false">G36*(1-$C$29)+G36*$C$29*$C$30</f>
        <v>5.5</v>
      </c>
      <c r="H44" s="19" t="n">
        <f aca="false">H36*(1-$C$29)+H36*$C$29*$C$30</f>
        <v>5</v>
      </c>
      <c r="I44" s="19" t="n">
        <f aca="false">I36*(1-$C$29)+I36*$C$29*$C$30</f>
        <v>5</v>
      </c>
      <c r="J44" s="19" t="n">
        <f aca="false">J36*(1-$C$29)+J36*$C$29*$C$30</f>
        <v>5</v>
      </c>
      <c r="K44" s="19" t="n">
        <f aca="false">K36*(1-$C$29)+K36*$C$29*$C$30</f>
        <v>5</v>
      </c>
      <c r="L44" s="19" t="n">
        <f aca="false">L36*(1-$C$29)+L36*$C$29*$C$30</f>
        <v>5</v>
      </c>
      <c r="M44" s="19" t="n">
        <f aca="false">M36*(1-$C$29)+M36*$C$29*$C$30</f>
        <v>5</v>
      </c>
      <c r="N44" s="19" t="n">
        <f aca="false">N36*(1-$C$29)+N36*$C$29*$C$30</f>
        <v>5</v>
      </c>
      <c r="O44" s="19" t="n">
        <f aca="false">O36*(1-$C$29)+O36*$C$29*$C$30</f>
        <v>5</v>
      </c>
      <c r="P44" s="19" t="n">
        <f aca="false">P36*(1-$C$29)+P36*$C$29*$C$30</f>
        <v>5</v>
      </c>
      <c r="Q44" s="19" t="n">
        <f aca="false">Q36*(1-$C$29)+Q36*$C$29*$C$30</f>
        <v>5</v>
      </c>
      <c r="R44" s="19" t="n">
        <f aca="false">R36*(1-$C$29)+R36*$C$29*$C$30</f>
        <v>5</v>
      </c>
      <c r="S44" s="19" t="n">
        <f aca="false">S36*(1-$C$29)+S36*$C$29*$C$30</f>
        <v>5</v>
      </c>
      <c r="T44" s="19" t="n">
        <f aca="false">T36*(1-$C$29)+T36*$C$29*$C$30</f>
        <v>5</v>
      </c>
      <c r="U44" s="19" t="n">
        <f aca="false">U36*(1-$C$29)+U36*$C$29*$C$30</f>
        <v>5</v>
      </c>
      <c r="V44" s="19" t="n">
        <f aca="false">V36*(1-$C$29)+V36*$C$29*$C$30</f>
        <v>5</v>
      </c>
      <c r="W44" s="19" t="n">
        <f aca="false">W36*(1-$C$29)+W36*$C$29*$C$30</f>
        <v>5</v>
      </c>
      <c r="X44" s="19" t="n">
        <f aca="false">X36*(1-$C$29)+X36*$C$29*$C$30</f>
        <v>5</v>
      </c>
      <c r="Y44" s="19" t="n">
        <f aca="false">Y36*(1-$C$29)+Y36*$C$29*$C$30</f>
        <v>5</v>
      </c>
      <c r="Z44" s="19" t="n">
        <f aca="false">Z36*(1-$C$29)+Z36*$C$29*$C$30</f>
        <v>5</v>
      </c>
      <c r="AA44" s="19" t="n">
        <f aca="false">AA36*(1-$C$29)+AA36*$C$29*$C$30</f>
        <v>5</v>
      </c>
      <c r="AB44" s="19" t="n">
        <f aca="false">AB36*(1-$C$29)+AB36*$C$29*$C$30</f>
        <v>5</v>
      </c>
      <c r="AC44" s="19" t="n">
        <f aca="false">AC36*(1-$C$29)+AC36*$C$29*$C$30</f>
        <v>5</v>
      </c>
    </row>
    <row r="45" customFormat="false" ht="15" hidden="false" customHeight="true" outlineLevel="0" collapsed="false">
      <c r="B45" s="6" t="s">
        <v>195</v>
      </c>
      <c r="C45" s="13" t="s">
        <v>50</v>
      </c>
      <c r="F45" s="20" t="n">
        <f aca="false">F37*(1-$C$27)+$C$27*$C$28</f>
        <v>3900</v>
      </c>
      <c r="G45" s="20" t="n">
        <f aca="false">G37*(1-$C$27)+$C$27*$C$28</f>
        <v>3600</v>
      </c>
      <c r="H45" s="20" t="n">
        <f aca="false">H37*(1-$C$27)+$C$27*$C$28</f>
        <v>3300</v>
      </c>
      <c r="I45" s="20" t="n">
        <f aca="false">I37*(1-$C$27)+$C$27*$C$28</f>
        <v>3300</v>
      </c>
      <c r="J45" s="20" t="n">
        <f aca="false">J37*(1-$C$27)+$C$27*$C$28</f>
        <v>3300</v>
      </c>
      <c r="K45" s="20" t="n">
        <f aca="false">K37*(1-$C$27)+$C$27*$C$28</f>
        <v>3300</v>
      </c>
      <c r="L45" s="20" t="n">
        <f aca="false">L37*(1-$C$27)+$C$27*$C$28</f>
        <v>3300</v>
      </c>
      <c r="M45" s="20" t="n">
        <f aca="false">M37*(1-$C$27)+$C$27*$C$28</f>
        <v>3300</v>
      </c>
      <c r="N45" s="20" t="n">
        <f aca="false">N37*(1-$C$27)+$C$27*$C$28</f>
        <v>3300</v>
      </c>
      <c r="O45" s="20" t="n">
        <f aca="false">O37*(1-$C$27)+$C$27*$C$28</f>
        <v>3300</v>
      </c>
      <c r="P45" s="20" t="n">
        <f aca="false">P37*(1-$C$27)+$C$27*$C$28</f>
        <v>3300</v>
      </c>
      <c r="Q45" s="20" t="n">
        <f aca="false">Q37*(1-$C$27)+$C$27*$C$28</f>
        <v>3300</v>
      </c>
      <c r="R45" s="20" t="n">
        <f aca="false">R37*(1-$C$27)+$C$27*$C$28</f>
        <v>3300</v>
      </c>
      <c r="S45" s="20" t="n">
        <f aca="false">S37*(1-$C$27)+$C$27*$C$28</f>
        <v>3300</v>
      </c>
      <c r="T45" s="20" t="n">
        <f aca="false">T37*(1-$C$27)+$C$27*$C$28</f>
        <v>3300</v>
      </c>
      <c r="U45" s="20" t="n">
        <f aca="false">U37*(1-$C$27)+$C$27*$C$28</f>
        <v>3300</v>
      </c>
      <c r="V45" s="20" t="n">
        <f aca="false">V37*(1-$C$27)+$C$27*$C$28</f>
        <v>3300</v>
      </c>
      <c r="W45" s="20" t="n">
        <f aca="false">W37*(1-$C$27)+$C$27*$C$28</f>
        <v>3300</v>
      </c>
      <c r="X45" s="20" t="n">
        <f aca="false">X37*(1-$C$27)+$C$27*$C$28</f>
        <v>3300</v>
      </c>
      <c r="Y45" s="20" t="n">
        <f aca="false">Y37*(1-$C$27)+$C$27*$C$28</f>
        <v>3300</v>
      </c>
      <c r="Z45" s="20" t="n">
        <f aca="false">Z37*(1-$C$27)+$C$27*$C$28</f>
        <v>3300</v>
      </c>
      <c r="AA45" s="20" t="n">
        <f aca="false">AA37*(1-$C$27)+$C$27*$C$28</f>
        <v>3300</v>
      </c>
      <c r="AB45" s="20" t="n">
        <f aca="false">AB37*(1-$C$27)+$C$27*$C$28</f>
        <v>3300</v>
      </c>
      <c r="AC45" s="20" t="n">
        <f aca="false">AC37*(1-$C$27)+$C$27*$C$28</f>
        <v>3300</v>
      </c>
    </row>
    <row r="46" customFormat="false" ht="15" hidden="false" customHeight="true" outlineLevel="0" collapsed="false">
      <c r="B46" s="6" t="s">
        <v>196</v>
      </c>
      <c r="C46" s="13" t="s">
        <v>165</v>
      </c>
      <c r="D46" s="30" t="n">
        <f aca="false">SUM(F46:AC46)</f>
        <v>0</v>
      </c>
      <c r="F46" s="30" t="n">
        <f aca="false">F42*F44</f>
        <v>0</v>
      </c>
      <c r="G46" s="30" t="n">
        <f aca="false">G42*G44</f>
        <v>0</v>
      </c>
      <c r="H46" s="30" t="n">
        <f aca="false">H42*H44</f>
        <v>0</v>
      </c>
      <c r="I46" s="30" t="n">
        <f aca="false">I42*I44</f>
        <v>0</v>
      </c>
      <c r="J46" s="30" t="n">
        <f aca="false">J42*J44</f>
        <v>0</v>
      </c>
      <c r="K46" s="30" t="n">
        <f aca="false">K42*K44</f>
        <v>0</v>
      </c>
      <c r="L46" s="30" t="n">
        <f aca="false">L42*L44</f>
        <v>0</v>
      </c>
      <c r="M46" s="30" t="n">
        <f aca="false">M42*M44</f>
        <v>0</v>
      </c>
      <c r="N46" s="30" t="n">
        <f aca="false">N42*N44</f>
        <v>0</v>
      </c>
      <c r="O46" s="30" t="n">
        <f aca="false">O42*O44</f>
        <v>0</v>
      </c>
      <c r="P46" s="30" t="n">
        <f aca="false">P42*P44</f>
        <v>0</v>
      </c>
      <c r="Q46" s="30" t="n">
        <f aca="false">Q42*Q44</f>
        <v>0</v>
      </c>
      <c r="R46" s="30" t="n">
        <f aca="false">R42*R44</f>
        <v>0</v>
      </c>
      <c r="S46" s="30" t="n">
        <f aca="false">S42*S44</f>
        <v>0</v>
      </c>
      <c r="T46" s="30" t="n">
        <f aca="false">T42*T44</f>
        <v>0</v>
      </c>
      <c r="U46" s="30" t="n">
        <f aca="false">U42*U44</f>
        <v>0</v>
      </c>
      <c r="V46" s="30" t="n">
        <f aca="false">V42*V44</f>
        <v>0</v>
      </c>
      <c r="W46" s="30" t="n">
        <f aca="false">W42*W44</f>
        <v>0</v>
      </c>
      <c r="X46" s="30" t="n">
        <f aca="false">X42*X44</f>
        <v>0</v>
      </c>
      <c r="Y46" s="30" t="n">
        <f aca="false">Y42*Y44</f>
        <v>0</v>
      </c>
      <c r="Z46" s="30" t="n">
        <f aca="false">Z42*Z44</f>
        <v>0</v>
      </c>
      <c r="AA46" s="30" t="n">
        <f aca="false">AA42*AA44</f>
        <v>0</v>
      </c>
      <c r="AB46" s="30" t="n">
        <f aca="false">AB42*AB44</f>
        <v>0</v>
      </c>
      <c r="AC46" s="30" t="n">
        <f aca="false">AC42*AC44</f>
        <v>0</v>
      </c>
    </row>
    <row r="47" customFormat="false" ht="15" hidden="false" customHeight="true" outlineLevel="0" collapsed="false">
      <c r="B47" s="6" t="s">
        <v>197</v>
      </c>
      <c r="C47" s="13" t="s">
        <v>165</v>
      </c>
      <c r="D47" s="30" t="n">
        <f aca="false">SUM(F47:AC47)</f>
        <v>1679.64070539714</v>
      </c>
      <c r="F47" s="30" t="n">
        <f aca="false">F43*F45/1000</f>
        <v>0</v>
      </c>
      <c r="G47" s="30" t="n">
        <f aca="false">G43*G45/1000</f>
        <v>0</v>
      </c>
      <c r="H47" s="30" t="n">
        <f aca="false">H43*H45/1000</f>
        <v>226.651768450496</v>
      </c>
      <c r="I47" s="30" t="n">
        <f aca="false">I43*I45/1000</f>
        <v>226.651768450496</v>
      </c>
      <c r="J47" s="30" t="n">
        <f aca="false">J43*J45/1000</f>
        <v>226.651768450496</v>
      </c>
      <c r="K47" s="30" t="n">
        <f aca="false">K43*K45/1000</f>
        <v>226.651768450496</v>
      </c>
      <c r="L47" s="30" t="n">
        <f aca="false">L43*L45/1000</f>
        <v>226.651768450496</v>
      </c>
      <c r="M47" s="30" t="n">
        <f aca="false">M43*M45/1000</f>
        <v>226.651768450496</v>
      </c>
      <c r="N47" s="30" t="n">
        <f aca="false">N43*N45/1000</f>
        <v>226.651768450496</v>
      </c>
      <c r="O47" s="30" t="n">
        <f aca="false">O43*O45/1000</f>
        <v>93.0783262436703</v>
      </c>
      <c r="P47" s="30" t="n">
        <f aca="false">P43*P45/1000</f>
        <v>0</v>
      </c>
      <c r="Q47" s="30" t="n">
        <f aca="false">Q43*Q45/1000</f>
        <v>0</v>
      </c>
      <c r="R47" s="30" t="n">
        <f aca="false">R43*R45/1000</f>
        <v>0</v>
      </c>
      <c r="S47" s="30" t="n">
        <f aca="false">S43*S45/1000</f>
        <v>0</v>
      </c>
      <c r="T47" s="30" t="n">
        <f aca="false">T43*T45/1000</f>
        <v>0</v>
      </c>
      <c r="U47" s="30" t="n">
        <f aca="false">U43*U45/1000</f>
        <v>0</v>
      </c>
      <c r="V47" s="30" t="n">
        <f aca="false">V43*V45/1000</f>
        <v>0</v>
      </c>
      <c r="W47" s="30" t="n">
        <f aca="false">W43*W45/1000</f>
        <v>0</v>
      </c>
      <c r="X47" s="30" t="n">
        <f aca="false">X43*X45/1000</f>
        <v>0</v>
      </c>
      <c r="Y47" s="30" t="n">
        <f aca="false">Y43*Y45/1000</f>
        <v>0</v>
      </c>
      <c r="Z47" s="30" t="n">
        <f aca="false">Z43*Z45/1000</f>
        <v>0</v>
      </c>
      <c r="AA47" s="30" t="n">
        <f aca="false">AA43*AA45/1000</f>
        <v>0</v>
      </c>
      <c r="AB47" s="30" t="n">
        <f aca="false">AB43*AB45/1000</f>
        <v>0</v>
      </c>
      <c r="AC47" s="30" t="n">
        <f aca="false">AC43*AC45/1000</f>
        <v>0</v>
      </c>
    </row>
    <row r="48" customFormat="false" ht="15" hidden="false" customHeight="true" outlineLevel="0" collapsed="false">
      <c r="B48" s="5" t="s">
        <v>198</v>
      </c>
      <c r="C48" s="13" t="s">
        <v>165</v>
      </c>
      <c r="D48" s="31" t="n">
        <f aca="false">SUM(F48:AC48)</f>
        <v>1679.64070539714</v>
      </c>
      <c r="F48" s="32" t="n">
        <f aca="false">F46+F47</f>
        <v>0</v>
      </c>
      <c r="G48" s="32" t="n">
        <f aca="false">G46+G47</f>
        <v>0</v>
      </c>
      <c r="H48" s="32" t="n">
        <f aca="false">H46+H47</f>
        <v>226.651768450496</v>
      </c>
      <c r="I48" s="32" t="n">
        <f aca="false">I46+I47</f>
        <v>226.651768450496</v>
      </c>
      <c r="J48" s="32" t="n">
        <f aca="false">J46+J47</f>
        <v>226.651768450496</v>
      </c>
      <c r="K48" s="32" t="n">
        <f aca="false">K46+K47</f>
        <v>226.651768450496</v>
      </c>
      <c r="L48" s="32" t="n">
        <f aca="false">L46+L47</f>
        <v>226.651768450496</v>
      </c>
      <c r="M48" s="32" t="n">
        <f aca="false">M46+M47</f>
        <v>226.651768450496</v>
      </c>
      <c r="N48" s="32" t="n">
        <f aca="false">N46+N47</f>
        <v>226.651768450496</v>
      </c>
      <c r="O48" s="32" t="n">
        <f aca="false">O46+O47</f>
        <v>93.0783262436703</v>
      </c>
      <c r="P48" s="32" t="n">
        <f aca="false">P46+P47</f>
        <v>0</v>
      </c>
      <c r="Q48" s="32" t="n">
        <f aca="false">Q46+Q47</f>
        <v>0</v>
      </c>
      <c r="R48" s="32" t="n">
        <f aca="false">R46+R47</f>
        <v>0</v>
      </c>
      <c r="S48" s="32" t="n">
        <f aca="false">S46+S47</f>
        <v>0</v>
      </c>
      <c r="T48" s="32" t="n">
        <f aca="false">T46+T47</f>
        <v>0</v>
      </c>
      <c r="U48" s="32" t="n">
        <f aca="false">U46+U47</f>
        <v>0</v>
      </c>
      <c r="V48" s="32" t="n">
        <f aca="false">V46+V47</f>
        <v>0</v>
      </c>
      <c r="W48" s="32" t="n">
        <f aca="false">W46+W47</f>
        <v>0</v>
      </c>
      <c r="X48" s="32" t="n">
        <f aca="false">X46+X47</f>
        <v>0</v>
      </c>
      <c r="Y48" s="32" t="n">
        <f aca="false">Y46+Y47</f>
        <v>0</v>
      </c>
      <c r="Z48" s="32" t="n">
        <f aca="false">Z46+Z47</f>
        <v>0</v>
      </c>
      <c r="AA48" s="32" t="n">
        <f aca="false">AA46+AA47</f>
        <v>0</v>
      </c>
      <c r="AB48" s="32" t="n">
        <f aca="false">AB46+AB47</f>
        <v>0</v>
      </c>
      <c r="AC48" s="32" t="n">
        <f aca="false">AC46+AC47</f>
        <v>0</v>
      </c>
    </row>
    <row r="49" customFormat="false" ht="15" hidden="false" customHeight="true" outlineLevel="0" collapsed="false">
      <c r="B49" s="6" t="s">
        <v>160</v>
      </c>
      <c r="C49" s="13" t="s">
        <v>165</v>
      </c>
      <c r="D49" s="30" t="n">
        <f aca="false">SUM(F49:AC49)</f>
        <v>0</v>
      </c>
      <c r="F49" s="30" t="n">
        <f aca="false">-F42*$C$19</f>
        <v>-0</v>
      </c>
      <c r="G49" s="30" t="n">
        <f aca="false">-G42*$C$19</f>
        <v>-0</v>
      </c>
      <c r="H49" s="30" t="n">
        <f aca="false">-H42*$C$19</f>
        <v>-0</v>
      </c>
      <c r="I49" s="30" t="n">
        <f aca="false">-I42*$C$19</f>
        <v>-0</v>
      </c>
      <c r="J49" s="30" t="n">
        <f aca="false">-J42*$C$19</f>
        <v>-0</v>
      </c>
      <c r="K49" s="30" t="n">
        <f aca="false">-K42*$C$19</f>
        <v>-0</v>
      </c>
      <c r="L49" s="30" t="n">
        <f aca="false">-L42*$C$19</f>
        <v>-0</v>
      </c>
      <c r="M49" s="30" t="n">
        <f aca="false">-M42*$C$19</f>
        <v>-0</v>
      </c>
      <c r="N49" s="30" t="n">
        <f aca="false">-N42*$C$19</f>
        <v>-0</v>
      </c>
      <c r="O49" s="30" t="n">
        <f aca="false">-O42*$C$19</f>
        <v>-0</v>
      </c>
      <c r="P49" s="30" t="n">
        <f aca="false">-P42*$C$19</f>
        <v>-0</v>
      </c>
      <c r="Q49" s="30" t="n">
        <f aca="false">-Q42*$C$19</f>
        <v>-0</v>
      </c>
      <c r="R49" s="30" t="n">
        <f aca="false">-R42*$C$19</f>
        <v>-0</v>
      </c>
      <c r="S49" s="30" t="n">
        <f aca="false">-S42*$C$19</f>
        <v>-0</v>
      </c>
      <c r="T49" s="30" t="n">
        <f aca="false">-T42*$C$19</f>
        <v>-0</v>
      </c>
      <c r="U49" s="30" t="n">
        <f aca="false">-U42*$C$19</f>
        <v>-0</v>
      </c>
      <c r="V49" s="30" t="n">
        <f aca="false">-V42*$C$19</f>
        <v>-0</v>
      </c>
      <c r="W49" s="30" t="n">
        <f aca="false">-W42*$C$19</f>
        <v>-0</v>
      </c>
      <c r="X49" s="30" t="n">
        <f aca="false">-X42*$C$19</f>
        <v>-0</v>
      </c>
      <c r="Y49" s="30" t="n">
        <f aca="false">-Y42*$C$19</f>
        <v>-0</v>
      </c>
      <c r="Z49" s="30" t="n">
        <f aca="false">-Z42*$C$19</f>
        <v>-0</v>
      </c>
      <c r="AA49" s="30" t="n">
        <f aca="false">-AA42*$C$19</f>
        <v>-0</v>
      </c>
      <c r="AB49" s="30" t="n">
        <f aca="false">-AB42*$C$19</f>
        <v>-0</v>
      </c>
      <c r="AC49" s="30" t="n">
        <f aca="false">-AC42*$C$19</f>
        <v>-0</v>
      </c>
    </row>
    <row r="50" customFormat="false" ht="15" hidden="false" customHeight="true" outlineLevel="0" collapsed="false">
      <c r="B50" s="6" t="s">
        <v>199</v>
      </c>
      <c r="C50" s="13" t="s">
        <v>165</v>
      </c>
      <c r="D50" s="30" t="n">
        <f aca="false">SUM(F50:AC50)</f>
        <v>-41.9910176349285</v>
      </c>
      <c r="F50" s="30" t="n">
        <f aca="false">-F48*$C$25</f>
        <v>-0</v>
      </c>
      <c r="G50" s="30" t="n">
        <f aca="false">-G48*$C$25</f>
        <v>-0</v>
      </c>
      <c r="H50" s="30" t="n">
        <f aca="false">-H48*$C$25</f>
        <v>-5.6662942112624</v>
      </c>
      <c r="I50" s="30" t="n">
        <f aca="false">-I48*$C$25</f>
        <v>-5.6662942112624</v>
      </c>
      <c r="J50" s="30" t="n">
        <f aca="false">-J48*$C$25</f>
        <v>-5.6662942112624</v>
      </c>
      <c r="K50" s="30" t="n">
        <f aca="false">-K48*$C$25</f>
        <v>-5.6662942112624</v>
      </c>
      <c r="L50" s="30" t="n">
        <f aca="false">-L48*$C$25</f>
        <v>-5.6662942112624</v>
      </c>
      <c r="M50" s="30" t="n">
        <f aca="false">-M48*$C$25</f>
        <v>-5.6662942112624</v>
      </c>
      <c r="N50" s="30" t="n">
        <f aca="false">-N48*$C$25</f>
        <v>-5.6662942112624</v>
      </c>
      <c r="O50" s="30" t="n">
        <f aca="false">-O48*$C$25</f>
        <v>-2.32695815609176</v>
      </c>
      <c r="P50" s="30" t="n">
        <f aca="false">-P48*$C$25</f>
        <v>-0</v>
      </c>
      <c r="Q50" s="30" t="n">
        <f aca="false">-Q48*$C$25</f>
        <v>-0</v>
      </c>
      <c r="R50" s="30" t="n">
        <f aca="false">-R48*$C$25</f>
        <v>-0</v>
      </c>
      <c r="S50" s="30" t="n">
        <f aca="false">-S48*$C$25</f>
        <v>-0</v>
      </c>
      <c r="T50" s="30" t="n">
        <f aca="false">-T48*$C$25</f>
        <v>-0</v>
      </c>
      <c r="U50" s="30" t="n">
        <f aca="false">-U48*$C$25</f>
        <v>-0</v>
      </c>
      <c r="V50" s="30" t="n">
        <f aca="false">-V48*$C$25</f>
        <v>-0</v>
      </c>
      <c r="W50" s="30" t="n">
        <f aca="false">-W48*$C$25</f>
        <v>-0</v>
      </c>
      <c r="X50" s="30" t="n">
        <f aca="false">-X48*$C$25</f>
        <v>-0</v>
      </c>
      <c r="Y50" s="30" t="n">
        <f aca="false">-Y48*$C$25</f>
        <v>-0</v>
      </c>
      <c r="Z50" s="30" t="n">
        <f aca="false">-Z48*$C$25</f>
        <v>-0</v>
      </c>
      <c r="AA50" s="30" t="n">
        <f aca="false">-AA48*$C$25</f>
        <v>-0</v>
      </c>
      <c r="AB50" s="30" t="n">
        <f aca="false">-AB48*$C$25</f>
        <v>-0</v>
      </c>
      <c r="AC50" s="30" t="n">
        <f aca="false">-AC48*$C$25</f>
        <v>-0</v>
      </c>
    </row>
    <row r="51" customFormat="false" ht="15" hidden="false" customHeight="true" outlineLevel="0" collapsed="false">
      <c r="B51" s="6" t="s">
        <v>200</v>
      </c>
      <c r="C51" s="13" t="s">
        <v>165</v>
      </c>
      <c r="D51" s="30" t="n">
        <f aca="false">SUM(F51:AC51)</f>
        <v>-633.612</v>
      </c>
      <c r="F51" s="30" t="n">
        <f aca="false">-F40*$C$18</f>
        <v>-0</v>
      </c>
      <c r="G51" s="30" t="n">
        <f aca="false">-G40*$C$18</f>
        <v>-0</v>
      </c>
      <c r="H51" s="30" t="n">
        <f aca="false">-H40*$C$18</f>
        <v>-85.5</v>
      </c>
      <c r="I51" s="30" t="n">
        <f aca="false">-I40*$C$18</f>
        <v>-85.5</v>
      </c>
      <c r="J51" s="30" t="n">
        <f aca="false">-J40*$C$18</f>
        <v>-85.5</v>
      </c>
      <c r="K51" s="30" t="n">
        <f aca="false">-K40*$C$18</f>
        <v>-85.5</v>
      </c>
      <c r="L51" s="30" t="n">
        <f aca="false">-L40*$C$18</f>
        <v>-85.5</v>
      </c>
      <c r="M51" s="30" t="n">
        <f aca="false">-M40*$C$18</f>
        <v>-85.5</v>
      </c>
      <c r="N51" s="30" t="n">
        <f aca="false">-N40*$C$18</f>
        <v>-85.5</v>
      </c>
      <c r="O51" s="30" t="n">
        <f aca="false">-O40*$C$18</f>
        <v>-35.112</v>
      </c>
      <c r="P51" s="30" t="n">
        <f aca="false">-P40*$C$18</f>
        <v>-0</v>
      </c>
      <c r="Q51" s="30" t="n">
        <f aca="false">-Q40*$C$18</f>
        <v>-0</v>
      </c>
      <c r="R51" s="30" t="n">
        <f aca="false">-R40*$C$18</f>
        <v>-0</v>
      </c>
      <c r="S51" s="30" t="n">
        <f aca="false">-S40*$C$18</f>
        <v>-0</v>
      </c>
      <c r="T51" s="30" t="n">
        <f aca="false">-T40*$C$18</f>
        <v>-0</v>
      </c>
      <c r="U51" s="30" t="n">
        <f aca="false">-U40*$C$18</f>
        <v>-0</v>
      </c>
      <c r="V51" s="30" t="n">
        <f aca="false">-V40*$C$18</f>
        <v>-0</v>
      </c>
      <c r="W51" s="30" t="n">
        <f aca="false">-W40*$C$18</f>
        <v>-0</v>
      </c>
      <c r="X51" s="30" t="n">
        <f aca="false">-X40*$C$18</f>
        <v>-0</v>
      </c>
      <c r="Y51" s="30" t="n">
        <f aca="false">-Y40*$C$18</f>
        <v>-0</v>
      </c>
      <c r="Z51" s="30" t="n">
        <f aca="false">-Z40*$C$18</f>
        <v>-0</v>
      </c>
      <c r="AA51" s="30" t="n">
        <f aca="false">-AA40*$C$18</f>
        <v>-0</v>
      </c>
      <c r="AB51" s="30" t="n">
        <f aca="false">-AB40*$C$18</f>
        <v>-0</v>
      </c>
      <c r="AC51" s="30" t="n">
        <f aca="false">-AC40*$C$18</f>
        <v>-0</v>
      </c>
    </row>
    <row r="52" customFormat="false" ht="15" hidden="false" customHeight="true" outlineLevel="0" collapsed="false">
      <c r="B52" s="5" t="s">
        <v>201</v>
      </c>
      <c r="C52" s="13" t="s">
        <v>165</v>
      </c>
      <c r="D52" s="31" t="n">
        <f aca="false">SUM(F52:AC52)</f>
        <v>1004.03768776221</v>
      </c>
      <c r="F52" s="32" t="n">
        <f aca="false">SUM(F48:F51)</f>
        <v>0</v>
      </c>
      <c r="G52" s="32" t="n">
        <f aca="false">SUM(G48:G51)</f>
        <v>0</v>
      </c>
      <c r="H52" s="32" t="n">
        <f aca="false">SUM(H48:H51)</f>
        <v>135.485474239234</v>
      </c>
      <c r="I52" s="32" t="n">
        <f aca="false">SUM(I48:I51)</f>
        <v>135.485474239234</v>
      </c>
      <c r="J52" s="32" t="n">
        <f aca="false">SUM(J48:J51)</f>
        <v>135.485474239234</v>
      </c>
      <c r="K52" s="32" t="n">
        <f aca="false">SUM(K48:K51)</f>
        <v>135.485474239234</v>
      </c>
      <c r="L52" s="32" t="n">
        <f aca="false">SUM(L48:L51)</f>
        <v>135.485474239234</v>
      </c>
      <c r="M52" s="32" t="n">
        <f aca="false">SUM(M48:M51)</f>
        <v>135.485474239234</v>
      </c>
      <c r="N52" s="32" t="n">
        <f aca="false">SUM(N48:N51)</f>
        <v>135.485474239234</v>
      </c>
      <c r="O52" s="32" t="n">
        <f aca="false">SUM(O48:O51)</f>
        <v>55.6393680875786</v>
      </c>
      <c r="P52" s="32" t="n">
        <f aca="false">SUM(P48:P51)</f>
        <v>0</v>
      </c>
      <c r="Q52" s="32" t="n">
        <f aca="false">SUM(Q48:Q51)</f>
        <v>0</v>
      </c>
      <c r="R52" s="32" t="n">
        <f aca="false">SUM(R48:R51)</f>
        <v>0</v>
      </c>
      <c r="S52" s="32" t="n">
        <f aca="false">SUM(S48:S51)</f>
        <v>0</v>
      </c>
      <c r="T52" s="32" t="n">
        <f aca="false">SUM(T48:T51)</f>
        <v>0</v>
      </c>
      <c r="U52" s="32" t="n">
        <f aca="false">SUM(U48:U51)</f>
        <v>0</v>
      </c>
      <c r="V52" s="32" t="n">
        <f aca="false">SUM(V48:V51)</f>
        <v>0</v>
      </c>
      <c r="W52" s="32" t="n">
        <f aca="false">SUM(W48:W51)</f>
        <v>0</v>
      </c>
      <c r="X52" s="32" t="n">
        <f aca="false">SUM(X48:X51)</f>
        <v>0</v>
      </c>
      <c r="Y52" s="32" t="n">
        <f aca="false">SUM(Y48:Y51)</f>
        <v>0</v>
      </c>
      <c r="Z52" s="32" t="n">
        <f aca="false">SUM(Z48:Z51)</f>
        <v>0</v>
      </c>
      <c r="AA52" s="32" t="n">
        <f aca="false">SUM(AA48:AA51)</f>
        <v>0</v>
      </c>
      <c r="AB52" s="32" t="n">
        <f aca="false">SUM(AB48:AB51)</f>
        <v>0</v>
      </c>
      <c r="AC52" s="32" t="n">
        <f aca="false">SUM(AC48:AC51)</f>
        <v>0</v>
      </c>
    </row>
    <row r="53" customFormat="false" ht="15" hidden="false" customHeight="true" outlineLevel="0" collapsed="false">
      <c r="B53" s="6" t="s">
        <v>162</v>
      </c>
      <c r="C53" s="13" t="s">
        <v>165</v>
      </c>
      <c r="D53" s="30" t="n">
        <f aca="false">SUM(F53:AC53)</f>
        <v>-120</v>
      </c>
      <c r="F53" s="30" t="n">
        <f aca="false">-IF(F40&gt;0,$C$20,0)</f>
        <v>-0</v>
      </c>
      <c r="G53" s="30" t="n">
        <f aca="false">-IF(G40&gt;0,$C$20,0)</f>
        <v>-0</v>
      </c>
      <c r="H53" s="30" t="n">
        <f aca="false">-IF(H40&gt;0,$C$20,0)</f>
        <v>-15</v>
      </c>
      <c r="I53" s="30" t="n">
        <f aca="false">-IF(I40&gt;0,$C$20,0)</f>
        <v>-15</v>
      </c>
      <c r="J53" s="30" t="n">
        <f aca="false">-IF(J40&gt;0,$C$20,0)</f>
        <v>-15</v>
      </c>
      <c r="K53" s="30" t="n">
        <f aca="false">-IF(K40&gt;0,$C$20,0)</f>
        <v>-15</v>
      </c>
      <c r="L53" s="30" t="n">
        <f aca="false">-IF(L40&gt;0,$C$20,0)</f>
        <v>-15</v>
      </c>
      <c r="M53" s="30" t="n">
        <f aca="false">-IF(M40&gt;0,$C$20,0)</f>
        <v>-15</v>
      </c>
      <c r="N53" s="30" t="n">
        <f aca="false">-IF(N40&gt;0,$C$20,0)</f>
        <v>-15</v>
      </c>
      <c r="O53" s="30" t="n">
        <f aca="false">-IF(O40&gt;0,$C$20,0)</f>
        <v>-15</v>
      </c>
      <c r="P53" s="30" t="n">
        <f aca="false">-IF(P40&gt;0,$C$20,0)</f>
        <v>-0</v>
      </c>
      <c r="Q53" s="30" t="n">
        <f aca="false">-IF(Q40&gt;0,$C$20,0)</f>
        <v>-0</v>
      </c>
      <c r="R53" s="30" t="n">
        <f aca="false">-IF(R40&gt;0,$C$20,0)</f>
        <v>-0</v>
      </c>
      <c r="S53" s="30" t="n">
        <f aca="false">-IF(S40&gt;0,$C$20,0)</f>
        <v>-0</v>
      </c>
      <c r="T53" s="30" t="n">
        <f aca="false">-IF(T40&gt;0,$C$20,0)</f>
        <v>-0</v>
      </c>
      <c r="U53" s="30" t="n">
        <f aca="false">-IF(U40&gt;0,$C$20,0)</f>
        <v>-0</v>
      </c>
      <c r="V53" s="30" t="n">
        <f aca="false">-IF(V40&gt;0,$C$20,0)</f>
        <v>-0</v>
      </c>
      <c r="W53" s="30" t="n">
        <f aca="false">-IF(W40&gt;0,$C$20,0)</f>
        <v>-0</v>
      </c>
      <c r="X53" s="30" t="n">
        <f aca="false">-IF(X40&gt;0,$C$20,0)</f>
        <v>-0</v>
      </c>
      <c r="Y53" s="30" t="n">
        <f aca="false">-IF(Y40&gt;0,$C$20,0)</f>
        <v>-0</v>
      </c>
      <c r="Z53" s="30" t="n">
        <f aca="false">-IF(Z40&gt;0,$C$20,0)</f>
        <v>-0</v>
      </c>
      <c r="AA53" s="30" t="n">
        <f aca="false">-IF(AA40&gt;0,$C$20,0)</f>
        <v>-0</v>
      </c>
      <c r="AB53" s="30" t="n">
        <f aca="false">-IF(AB40&gt;0,$C$20,0)</f>
        <v>-0</v>
      </c>
      <c r="AC53" s="30" t="n">
        <f aca="false">-IF(AC40&gt;0,$C$20,0)</f>
        <v>-0</v>
      </c>
    </row>
    <row r="54" customFormat="false" ht="15" hidden="false" customHeight="true" outlineLevel="0" collapsed="false">
      <c r="B54" s="6" t="s">
        <v>202</v>
      </c>
      <c r="C54" s="13" t="s">
        <v>165</v>
      </c>
      <c r="D54" s="30" t="n">
        <f aca="false">SUM(F54:AC54)</f>
        <v>-260</v>
      </c>
      <c r="F54" s="30" t="n">
        <f aca="false">-IF(AND(F$34&gt;=$C$22,F$34&lt;$C$22+$C$23),$C$21/$C$23,0)</f>
        <v>-130</v>
      </c>
      <c r="G54" s="30" t="n">
        <f aca="false">-IF(AND(G$34&gt;=$C$22,G$34&lt;$C$22+$C$23),$C$21/$C$23,0)</f>
        <v>-130</v>
      </c>
      <c r="H54" s="30" t="n">
        <f aca="false">-IF(AND(H$34&gt;=$C$22,H$34&lt;$C$22+$C$23),$C$21/$C$23,0)</f>
        <v>-0</v>
      </c>
      <c r="I54" s="30" t="n">
        <f aca="false">-IF(AND(I$34&gt;=$C$22,I$34&lt;$C$22+$C$23),$C$21/$C$23,0)</f>
        <v>-0</v>
      </c>
      <c r="J54" s="30" t="n">
        <f aca="false">-IF(AND(J$34&gt;=$C$22,J$34&lt;$C$22+$C$23),$C$21/$C$23,0)</f>
        <v>-0</v>
      </c>
      <c r="K54" s="30" t="n">
        <f aca="false">-IF(AND(K$34&gt;=$C$22,K$34&lt;$C$22+$C$23),$C$21/$C$23,0)</f>
        <v>-0</v>
      </c>
      <c r="L54" s="30" t="n">
        <f aca="false">-IF(AND(L$34&gt;=$C$22,L$34&lt;$C$22+$C$23),$C$21/$C$23,0)</f>
        <v>-0</v>
      </c>
      <c r="M54" s="30" t="n">
        <f aca="false">-IF(AND(M$34&gt;=$C$22,M$34&lt;$C$22+$C$23),$C$21/$C$23,0)</f>
        <v>-0</v>
      </c>
      <c r="N54" s="30" t="n">
        <f aca="false">-IF(AND(N$34&gt;=$C$22,N$34&lt;$C$22+$C$23),$C$21/$C$23,0)</f>
        <v>-0</v>
      </c>
      <c r="O54" s="30" t="n">
        <f aca="false">-IF(AND(O$34&gt;=$C$22,O$34&lt;$C$22+$C$23),$C$21/$C$23,0)</f>
        <v>-0</v>
      </c>
      <c r="P54" s="30" t="n">
        <f aca="false">-IF(AND(P$34&gt;=$C$22,P$34&lt;$C$22+$C$23),$C$21/$C$23,0)</f>
        <v>-0</v>
      </c>
      <c r="Q54" s="30" t="n">
        <f aca="false">-IF(AND(Q$34&gt;=$C$22,Q$34&lt;$C$22+$C$23),$C$21/$C$23,0)</f>
        <v>-0</v>
      </c>
      <c r="R54" s="30" t="n">
        <f aca="false">-IF(AND(R$34&gt;=$C$22,R$34&lt;$C$22+$C$23),$C$21/$C$23,0)</f>
        <v>-0</v>
      </c>
      <c r="S54" s="30" t="n">
        <f aca="false">-IF(AND(S$34&gt;=$C$22,S$34&lt;$C$22+$C$23),$C$21/$C$23,0)</f>
        <v>-0</v>
      </c>
      <c r="T54" s="30" t="n">
        <f aca="false">-IF(AND(T$34&gt;=$C$22,T$34&lt;$C$22+$C$23),$C$21/$C$23,0)</f>
        <v>-0</v>
      </c>
      <c r="U54" s="30" t="n">
        <f aca="false">-IF(AND(U$34&gt;=$C$22,U$34&lt;$C$22+$C$23),$C$21/$C$23,0)</f>
        <v>-0</v>
      </c>
      <c r="V54" s="30" t="n">
        <f aca="false">-IF(AND(V$34&gt;=$C$22,V$34&lt;$C$22+$C$23),$C$21/$C$23,0)</f>
        <v>-0</v>
      </c>
      <c r="W54" s="30" t="n">
        <f aca="false">-IF(AND(W$34&gt;=$C$22,W$34&lt;$C$22+$C$23),$C$21/$C$23,0)</f>
        <v>-0</v>
      </c>
      <c r="X54" s="30" t="n">
        <f aca="false">-IF(AND(X$34&gt;=$C$22,X$34&lt;$C$22+$C$23),$C$21/$C$23,0)</f>
        <v>-0</v>
      </c>
      <c r="Y54" s="30" t="n">
        <f aca="false">-IF(AND(Y$34&gt;=$C$22,Y$34&lt;$C$22+$C$23),$C$21/$C$23,0)</f>
        <v>-0</v>
      </c>
      <c r="Z54" s="30" t="n">
        <f aca="false">-IF(AND(Z$34&gt;=$C$22,Z$34&lt;$C$22+$C$23),$C$21/$C$23,0)</f>
        <v>-0</v>
      </c>
      <c r="AA54" s="30" t="n">
        <f aca="false">-IF(AND(AA$34&gt;=$C$22,AA$34&lt;$C$22+$C$23),$C$21/$C$23,0)</f>
        <v>-0</v>
      </c>
      <c r="AB54" s="30" t="n">
        <f aca="false">-IF(AND(AB$34&gt;=$C$22,AB$34&lt;$C$22+$C$23),$C$21/$C$23,0)</f>
        <v>-0</v>
      </c>
      <c r="AC54" s="30" t="n">
        <f aca="false">-IF(AND(AC$34&gt;=$C$22,AC$34&lt;$C$22+$C$23),$C$21/$C$23,0)</f>
        <v>-0</v>
      </c>
    </row>
    <row r="55" customFormat="false" ht="15" hidden="false" customHeight="true" outlineLevel="0" collapsed="false">
      <c r="B55" s="6" t="s">
        <v>203</v>
      </c>
      <c r="C55" s="13" t="s">
        <v>165</v>
      </c>
      <c r="D55" s="30" t="n">
        <f aca="false">SUM(F55:AC55)</f>
        <v>-30</v>
      </c>
      <c r="F55" s="30" t="n">
        <f aca="false">0</f>
        <v>0</v>
      </c>
      <c r="G55" s="30" t="n">
        <f aca="false">-IF(AND(G40=0,F40&gt;0),$C$24,0)</f>
        <v>-0</v>
      </c>
      <c r="H55" s="30" t="n">
        <f aca="false">-IF(AND(H40=0,G40&gt;0),$C$24,0)</f>
        <v>-0</v>
      </c>
      <c r="I55" s="30" t="n">
        <f aca="false">-IF(AND(I40=0,H40&gt;0),$C$24,0)</f>
        <v>-0</v>
      </c>
      <c r="J55" s="30" t="n">
        <f aca="false">-IF(AND(J40=0,I40&gt;0),$C$24,0)</f>
        <v>-0</v>
      </c>
      <c r="K55" s="30" t="n">
        <f aca="false">-IF(AND(K40=0,J40&gt;0),$C$24,0)</f>
        <v>-0</v>
      </c>
      <c r="L55" s="30" t="n">
        <f aca="false">-IF(AND(L40=0,K40&gt;0),$C$24,0)</f>
        <v>-0</v>
      </c>
      <c r="M55" s="30" t="n">
        <f aca="false">-IF(AND(M40=0,L40&gt;0),$C$24,0)</f>
        <v>-0</v>
      </c>
      <c r="N55" s="30" t="n">
        <f aca="false">-IF(AND(N40=0,M40&gt;0),$C$24,0)</f>
        <v>-0</v>
      </c>
      <c r="O55" s="30" t="n">
        <f aca="false">-IF(AND(O40=0,N40&gt;0),$C$24,0)</f>
        <v>-0</v>
      </c>
      <c r="P55" s="30" t="n">
        <f aca="false">-IF(AND(P40=0,O40&gt;0),$C$24,0)</f>
        <v>-30</v>
      </c>
      <c r="Q55" s="30" t="n">
        <f aca="false">-IF(AND(Q40=0,P40&gt;0),$C$24,0)</f>
        <v>-0</v>
      </c>
      <c r="R55" s="30" t="n">
        <f aca="false">-IF(AND(R40=0,Q40&gt;0),$C$24,0)</f>
        <v>-0</v>
      </c>
      <c r="S55" s="30" t="n">
        <f aca="false">-IF(AND(S40=0,R40&gt;0),$C$24,0)</f>
        <v>-0</v>
      </c>
      <c r="T55" s="30" t="n">
        <f aca="false">-IF(AND(T40=0,S40&gt;0),$C$24,0)</f>
        <v>-0</v>
      </c>
      <c r="U55" s="30" t="n">
        <f aca="false">-IF(AND(U40=0,T40&gt;0),$C$24,0)</f>
        <v>-0</v>
      </c>
      <c r="V55" s="30" t="n">
        <f aca="false">-IF(AND(V40=0,U40&gt;0),$C$24,0)</f>
        <v>-0</v>
      </c>
      <c r="W55" s="30" t="n">
        <f aca="false">-IF(AND(W40=0,V40&gt;0),$C$24,0)</f>
        <v>-0</v>
      </c>
      <c r="X55" s="30" t="n">
        <f aca="false">-IF(AND(X40=0,W40&gt;0),$C$24,0)</f>
        <v>-0</v>
      </c>
      <c r="Y55" s="30" t="n">
        <f aca="false">-IF(AND(Y40=0,X40&gt;0),$C$24,0)</f>
        <v>-0</v>
      </c>
      <c r="Z55" s="30" t="n">
        <f aca="false">-IF(AND(Z40=0,Y40&gt;0),$C$24,0)</f>
        <v>-0</v>
      </c>
      <c r="AA55" s="30" t="n">
        <f aca="false">-IF(AND(AA40=0,Z40&gt;0),$C$24,0)</f>
        <v>-0</v>
      </c>
      <c r="AB55" s="30" t="n">
        <f aca="false">-IF(AND(AB40=0,AA40&gt;0),$C$24,0)</f>
        <v>-0</v>
      </c>
      <c r="AC55" s="30" t="n">
        <f aca="false">-IF(AND(AC40=0,AB40&gt;0),$C$24,0)</f>
        <v>-0</v>
      </c>
    </row>
    <row r="56" customFormat="false" ht="15" hidden="false" customHeight="true" outlineLevel="0" collapsed="false">
      <c r="B56" s="6" t="s">
        <v>204</v>
      </c>
      <c r="C56" s="13" t="s">
        <v>165</v>
      </c>
      <c r="D56" s="30" t="n">
        <f aca="false">SUM(F56:AC56)</f>
        <v>-221.009421940553</v>
      </c>
      <c r="F56" s="30" t="n">
        <f aca="false">-MAX(0,(F52+F53+F54)*$C$26)</f>
        <v>-0</v>
      </c>
      <c r="G56" s="30" t="n">
        <f aca="false">-MAX(0,(G52+G53+G54)*$C$26)</f>
        <v>-0</v>
      </c>
      <c r="H56" s="30" t="n">
        <f aca="false">-MAX(0,(H52+H53+H54)*$C$26)</f>
        <v>-30.1213685598084</v>
      </c>
      <c r="I56" s="30" t="n">
        <f aca="false">-MAX(0,(I52+I53+I54)*$C$26)</f>
        <v>-30.1213685598084</v>
      </c>
      <c r="J56" s="30" t="n">
        <f aca="false">-MAX(0,(J52+J53+J54)*$C$26)</f>
        <v>-30.1213685598084</v>
      </c>
      <c r="K56" s="30" t="n">
        <f aca="false">-MAX(0,(K52+K53+K54)*$C$26)</f>
        <v>-30.1213685598084</v>
      </c>
      <c r="L56" s="30" t="n">
        <f aca="false">-MAX(0,(L52+L53+L54)*$C$26)</f>
        <v>-30.1213685598084</v>
      </c>
      <c r="M56" s="30" t="n">
        <f aca="false">-MAX(0,(M52+M53+M54)*$C$26)</f>
        <v>-30.1213685598084</v>
      </c>
      <c r="N56" s="30" t="n">
        <f aca="false">-MAX(0,(N52+N53+N54)*$C$26)</f>
        <v>-30.1213685598084</v>
      </c>
      <c r="O56" s="30" t="n">
        <f aca="false">-MAX(0,(O52+O53+O54)*$C$26)</f>
        <v>-10.1598420218946</v>
      </c>
      <c r="P56" s="30" t="n">
        <f aca="false">-MAX(0,(P52+P53+P54)*$C$26)</f>
        <v>-0</v>
      </c>
      <c r="Q56" s="30" t="n">
        <f aca="false">-MAX(0,(Q52+Q53+Q54)*$C$26)</f>
        <v>-0</v>
      </c>
      <c r="R56" s="30" t="n">
        <f aca="false">-MAX(0,(R52+R53+R54)*$C$26)</f>
        <v>-0</v>
      </c>
      <c r="S56" s="30" t="n">
        <f aca="false">-MAX(0,(S52+S53+S54)*$C$26)</f>
        <v>-0</v>
      </c>
      <c r="T56" s="30" t="n">
        <f aca="false">-MAX(0,(T52+T53+T54)*$C$26)</f>
        <v>-0</v>
      </c>
      <c r="U56" s="30" t="n">
        <f aca="false">-MAX(0,(U52+U53+U54)*$C$26)</f>
        <v>-0</v>
      </c>
      <c r="V56" s="30" t="n">
        <f aca="false">-MAX(0,(V52+V53+V54)*$C$26)</f>
        <v>-0</v>
      </c>
      <c r="W56" s="30" t="n">
        <f aca="false">-MAX(0,(W52+W53+W54)*$C$26)</f>
        <v>-0</v>
      </c>
      <c r="X56" s="30" t="n">
        <f aca="false">-MAX(0,(X52+X53+X54)*$C$26)</f>
        <v>-0</v>
      </c>
      <c r="Y56" s="30" t="n">
        <f aca="false">-MAX(0,(Y52+Y53+Y54)*$C$26)</f>
        <v>-0</v>
      </c>
      <c r="Z56" s="30" t="n">
        <f aca="false">-MAX(0,(Z52+Z53+Z54)*$C$26)</f>
        <v>-0</v>
      </c>
      <c r="AA56" s="30" t="n">
        <f aca="false">-MAX(0,(AA52+AA53+AA54)*$C$26)</f>
        <v>-0</v>
      </c>
      <c r="AB56" s="30" t="n">
        <f aca="false">-MAX(0,(AB52+AB53+AB54)*$C$26)</f>
        <v>-0</v>
      </c>
      <c r="AC56" s="30" t="n">
        <f aca="false">-MAX(0,(AC52+AC53+AC54)*$C$26)</f>
        <v>-0</v>
      </c>
    </row>
    <row r="57" customFormat="false" ht="15" hidden="false" customHeight="true" outlineLevel="0" collapsed="false">
      <c r="B57" s="5" t="s">
        <v>205</v>
      </c>
      <c r="C57" s="13" t="s">
        <v>165</v>
      </c>
      <c r="D57" s="31" t="n">
        <f aca="false">SUM(F57:AC57)</f>
        <v>373.02826582166</v>
      </c>
      <c r="F57" s="32" t="n">
        <f aca="false">SUM(F52:F56)</f>
        <v>-130</v>
      </c>
      <c r="G57" s="32" t="n">
        <f aca="false">SUM(G52:G56)</f>
        <v>-130</v>
      </c>
      <c r="H57" s="32" t="n">
        <f aca="false">SUM(H52:H56)</f>
        <v>90.3641056794251</v>
      </c>
      <c r="I57" s="32" t="n">
        <f aca="false">SUM(I52:I56)</f>
        <v>90.3641056794251</v>
      </c>
      <c r="J57" s="32" t="n">
        <f aca="false">SUM(J52:J56)</f>
        <v>90.3641056794251</v>
      </c>
      <c r="K57" s="32" t="n">
        <f aca="false">SUM(K52:K56)</f>
        <v>90.3641056794251</v>
      </c>
      <c r="L57" s="32" t="n">
        <f aca="false">SUM(L52:L56)</f>
        <v>90.3641056794251</v>
      </c>
      <c r="M57" s="32" t="n">
        <f aca="false">SUM(M52:M56)</f>
        <v>90.3641056794251</v>
      </c>
      <c r="N57" s="32" t="n">
        <f aca="false">SUM(N52:N56)</f>
        <v>90.3641056794251</v>
      </c>
      <c r="O57" s="32" t="n">
        <f aca="false">SUM(O52:O56)</f>
        <v>30.4795260656839</v>
      </c>
      <c r="P57" s="32" t="n">
        <f aca="false">SUM(P52:P56)</f>
        <v>-30</v>
      </c>
      <c r="Q57" s="32" t="n">
        <f aca="false">SUM(Q52:Q56)</f>
        <v>0</v>
      </c>
      <c r="R57" s="32" t="n">
        <f aca="false">SUM(R52:R56)</f>
        <v>0</v>
      </c>
      <c r="S57" s="32" t="n">
        <f aca="false">SUM(S52:S56)</f>
        <v>0</v>
      </c>
      <c r="T57" s="32" t="n">
        <f aca="false">SUM(T52:T56)</f>
        <v>0</v>
      </c>
      <c r="U57" s="32" t="n">
        <f aca="false">SUM(U52:U56)</f>
        <v>0</v>
      </c>
      <c r="V57" s="32" t="n">
        <f aca="false">SUM(V52:V56)</f>
        <v>0</v>
      </c>
      <c r="W57" s="32" t="n">
        <f aca="false">SUM(W52:W56)</f>
        <v>0</v>
      </c>
      <c r="X57" s="32" t="n">
        <f aca="false">SUM(X52:X56)</f>
        <v>0</v>
      </c>
      <c r="Y57" s="32" t="n">
        <f aca="false">SUM(Y52:Y56)</f>
        <v>0</v>
      </c>
      <c r="Z57" s="32" t="n">
        <f aca="false">SUM(Z52:Z56)</f>
        <v>0</v>
      </c>
      <c r="AA57" s="32" t="n">
        <f aca="false">SUM(AA52:AA56)</f>
        <v>0</v>
      </c>
      <c r="AB57" s="32" t="n">
        <f aca="false">SUM(AB52:AB56)</f>
        <v>0</v>
      </c>
      <c r="AC57" s="32" t="n">
        <f aca="false">SUM(AC52:AC56)</f>
        <v>0</v>
      </c>
    </row>
    <row r="58" customFormat="false" ht="15" hidden="false" customHeight="true" outlineLevel="0" collapsed="false">
      <c r="B58" s="6" t="s">
        <v>206</v>
      </c>
      <c r="C58" s="13"/>
      <c r="F58" s="33" t="n">
        <f aca="false">1/(1+$C$31)^(F35-0.5)</f>
        <v>0.975900072948533</v>
      </c>
      <c r="G58" s="33" t="n">
        <f aca="false">1/(1+$C$31)^(G35-0.5)</f>
        <v>0.929428640903365</v>
      </c>
      <c r="H58" s="33" t="n">
        <f aca="false">1/(1+$C$31)^(H35-0.5)</f>
        <v>0.885170134193681</v>
      </c>
      <c r="I58" s="33" t="n">
        <f aca="false">1/(1+$C$31)^(I35-0.5)</f>
        <v>0.843019175422553</v>
      </c>
      <c r="J58" s="33" t="n">
        <f aca="false">1/(1+$C$31)^(J35-0.5)</f>
        <v>0.802875405164336</v>
      </c>
      <c r="K58" s="33" t="n">
        <f aca="false">1/(1+$C$31)^(K35-0.5)</f>
        <v>0.764643243013654</v>
      </c>
      <c r="L58" s="33" t="n">
        <f aca="false">1/(1+$C$31)^(L35-0.5)</f>
        <v>0.728231660013003</v>
      </c>
      <c r="M58" s="33" t="n">
        <f aca="false">1/(1+$C$31)^(M35-0.5)</f>
        <v>0.693553961917146</v>
      </c>
      <c r="N58" s="33" t="n">
        <f aca="false">1/(1+$C$31)^(N35-0.5)</f>
        <v>0.660527582778234</v>
      </c>
      <c r="O58" s="33" t="n">
        <f aca="false">1/(1+$C$31)^(O35-0.5)</f>
        <v>0.629073888360223</v>
      </c>
      <c r="P58" s="33" t="n">
        <f aca="false">1/(1+$C$31)^(P35-0.5)</f>
        <v>0.599117988914498</v>
      </c>
      <c r="Q58" s="33" t="n">
        <f aca="false">1/(1+$C$31)^(Q35-0.5)</f>
        <v>0.570588560870951</v>
      </c>
      <c r="R58" s="33" t="n">
        <f aca="false">1/(1+$C$31)^(R35-0.5)</f>
        <v>0.543417677019953</v>
      </c>
      <c r="S58" s="33" t="n">
        <f aca="false">1/(1+$C$31)^(S35-0.5)</f>
        <v>0.517540644780908</v>
      </c>
      <c r="T58" s="33" t="n">
        <f aca="false">1/(1+$C$31)^(T35-0.5)</f>
        <v>0.492895852172293</v>
      </c>
      <c r="U58" s="33" t="n">
        <f aca="false">1/(1+$C$31)^(U35-0.5)</f>
        <v>0.469424621116469</v>
      </c>
      <c r="V58" s="33" t="n">
        <f aca="false">1/(1+$C$31)^(V35-0.5)</f>
        <v>0.447071067729971</v>
      </c>
      <c r="W58" s="33" t="n">
        <f aca="false">1/(1+$C$31)^(W35-0.5)</f>
        <v>0.425781969266639</v>
      </c>
      <c r="X58" s="33" t="n">
        <f aca="false">1/(1+$C$31)^(X35-0.5)</f>
        <v>0.405506637396799</v>
      </c>
      <c r="Y58" s="33" t="n">
        <f aca="false">1/(1+$C$31)^(Y35-0.5)</f>
        <v>0.386196797520761</v>
      </c>
      <c r="Z58" s="33" t="n">
        <f aca="false">1/(1+$C$31)^(Z35-0.5)</f>
        <v>0.367806473829296</v>
      </c>
      <c r="AA58" s="33" t="n">
        <f aca="false">1/(1+$C$31)^(AA35-0.5)</f>
        <v>0.350291879837425</v>
      </c>
      <c r="AB58" s="33" t="n">
        <f aca="false">1/(1+$C$31)^(AB35-0.5)</f>
        <v>0.333611314130881</v>
      </c>
      <c r="AC58" s="33" t="n">
        <f aca="false">1/(1+$C$31)^(AC35-0.5)</f>
        <v>0.317725061077029</v>
      </c>
    </row>
    <row r="59" customFormat="false" ht="15" hidden="false" customHeight="true" outlineLevel="0" collapsed="false">
      <c r="B59" s="5" t="s">
        <v>207</v>
      </c>
      <c r="C59" s="13" t="s">
        <v>165</v>
      </c>
      <c r="D59" s="31" t="n">
        <f aca="false">SUM(F59:AC59)</f>
        <v>239.487674183905</v>
      </c>
      <c r="F59" s="32" t="n">
        <f aca="false">F57*F58</f>
        <v>-126.867009483309</v>
      </c>
      <c r="G59" s="32" t="n">
        <f aca="false">G57*G58</f>
        <v>-120.825723317437</v>
      </c>
      <c r="H59" s="32" t="n">
        <f aca="false">H57*H58</f>
        <v>79.9876075505487</v>
      </c>
      <c r="I59" s="32" t="n">
        <f aca="false">I57*I58</f>
        <v>76.1786738576654</v>
      </c>
      <c r="J59" s="32" t="n">
        <f aca="false">J57*J58</f>
        <v>72.5511179596814</v>
      </c>
      <c r="K59" s="32" t="n">
        <f aca="false">K57*K58</f>
        <v>69.0963028187441</v>
      </c>
      <c r="L59" s="32" t="n">
        <f aca="false">L57*L58</f>
        <v>65.8060026845182</v>
      </c>
      <c r="M59" s="32" t="n">
        <f aca="false">M57*M58</f>
        <v>62.672383509065</v>
      </c>
      <c r="N59" s="32" t="n">
        <f aca="false">N57*N58</f>
        <v>59.6879842943476</v>
      </c>
      <c r="O59" s="32" t="n">
        <f aca="false">O57*O58</f>
        <v>19.1738739775166</v>
      </c>
      <c r="P59" s="32" t="n">
        <f aca="false">P57*P58</f>
        <v>-17.9735396674349</v>
      </c>
      <c r="Q59" s="32" t="n">
        <f aca="false">Q57*Q58</f>
        <v>0</v>
      </c>
      <c r="R59" s="32" t="n">
        <f aca="false">R57*R58</f>
        <v>0</v>
      </c>
      <c r="S59" s="32" t="n">
        <f aca="false">S57*S58</f>
        <v>0</v>
      </c>
      <c r="T59" s="32" t="n">
        <f aca="false">T57*T58</f>
        <v>0</v>
      </c>
      <c r="U59" s="32" t="n">
        <f aca="false">U57*U58</f>
        <v>0</v>
      </c>
      <c r="V59" s="32" t="n">
        <f aca="false">V57*V58</f>
        <v>0</v>
      </c>
      <c r="W59" s="32" t="n">
        <f aca="false">W57*W58</f>
        <v>0</v>
      </c>
      <c r="X59" s="32" t="n">
        <f aca="false">X57*X58</f>
        <v>0</v>
      </c>
      <c r="Y59" s="32" t="n">
        <f aca="false">Y57*Y58</f>
        <v>0</v>
      </c>
      <c r="Z59" s="32" t="n">
        <f aca="false">Z57*Z58</f>
        <v>0</v>
      </c>
      <c r="AA59" s="32" t="n">
        <f aca="false">AA57*AA58</f>
        <v>0</v>
      </c>
      <c r="AB59" s="32" t="n">
        <f aca="false">AB57*AB58</f>
        <v>0</v>
      </c>
      <c r="AC59" s="32" t="n">
        <f aca="false">AC57*AC58</f>
        <v>0</v>
      </c>
    </row>
    <row r="61" customFormat="false" ht="15" hidden="false" customHeight="true" outlineLevel="0" collapsed="false">
      <c r="B61" s="10" t="s">
        <v>208</v>
      </c>
      <c r="C61" s="11"/>
      <c r="D61" s="11"/>
    </row>
    <row r="62" customFormat="false" ht="15" hidden="false" customHeight="true" outlineLevel="0" collapsed="false">
      <c r="B62" s="5" t="s">
        <v>209</v>
      </c>
      <c r="C62" s="31" t="n">
        <f aca="false">SUM(F59:AC59)</f>
        <v>239.487674183905</v>
      </c>
      <c r="D62" s="13" t="s">
        <v>165</v>
      </c>
    </row>
    <row r="63" customFormat="false" ht="15" hidden="false" customHeight="true" outlineLevel="0" collapsed="false">
      <c r="B63" s="5" t="s">
        <v>210</v>
      </c>
      <c r="C63" s="34" t="n">
        <f aca="false">C62*$C$5</f>
        <v>239.487674183905</v>
      </c>
      <c r="D63" s="13" t="s">
        <v>165</v>
      </c>
    </row>
    <row r="64" customFormat="false" ht="15" hidden="false" customHeight="true" outlineLevel="0" collapsed="false">
      <c r="B64" s="5" t="s">
        <v>211</v>
      </c>
      <c r="C64" s="35" t="n">
        <f aca="false">COUNTIF(F40:AC40,"&gt;0")</f>
        <v>8</v>
      </c>
      <c r="D64" s="13" t="s">
        <v>168</v>
      </c>
    </row>
    <row r="65" customFormat="false" ht="15" hidden="false" customHeight="true" outlineLevel="0" collapsed="false">
      <c r="B65" s="5" t="s">
        <v>212</v>
      </c>
      <c r="C65" s="36" t="n">
        <f aca="false">IFERROR((-(F49+F50+F51+F53)-F46)/F43*1000,0)</f>
        <v>0</v>
      </c>
      <c r="D65" s="13" t="s">
        <v>213</v>
      </c>
    </row>
    <row r="66" customFormat="false" ht="15" hidden="false" customHeight="true" outlineLevel="0" collapsed="false">
      <c r="B66" s="5" t="s">
        <v>214</v>
      </c>
      <c r="C66" s="36" t="n">
        <f aca="false">IFERROR((-(D49+D50+D51+D53)-D46)/D43*1000,0)</f>
        <v>1563.12594101754</v>
      </c>
      <c r="D66" s="13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3"/>
    <col collapsed="false" customWidth="true" hidden="false" outlineLevel="0" max="29" min="6" style="1" width="9"/>
  </cols>
  <sheetData>
    <row r="1" customFormat="false" ht="17.25" hidden="false" customHeight="true" outlineLevel="0" collapsed="false">
      <c r="B1" s="2" t="s">
        <v>223</v>
      </c>
    </row>
    <row r="2" customFormat="false" ht="15" hidden="false" customHeight="true" outlineLevel="0" collapsed="false">
      <c r="B2" s="3" t="s">
        <v>127</v>
      </c>
    </row>
    <row r="4" customFormat="false" ht="15" hidden="false" customHeight="true" outlineLevel="0" collapsed="false">
      <c r="B4" s="4" t="s">
        <v>128</v>
      </c>
      <c r="C4" s="4" t="s">
        <v>129</v>
      </c>
      <c r="D4" s="4" t="s">
        <v>130</v>
      </c>
      <c r="F4" s="5" t="s">
        <v>131</v>
      </c>
    </row>
    <row r="5" customFormat="false" ht="15" hidden="false" customHeight="true" outlineLevel="0" collapsed="false">
      <c r="B5" s="6" t="s">
        <v>132</v>
      </c>
      <c r="C5" s="23" t="n">
        <v>1</v>
      </c>
      <c r="D5" s="13" t="s">
        <v>133</v>
      </c>
      <c r="F5" s="13" t="s">
        <v>224</v>
      </c>
    </row>
    <row r="6" customFormat="false" ht="15" hidden="false" customHeight="true" outlineLevel="0" collapsed="false">
      <c r="B6" s="6" t="s">
        <v>135</v>
      </c>
      <c r="C6" s="15" t="n">
        <v>73.058</v>
      </c>
      <c r="D6" s="13" t="s">
        <v>136</v>
      </c>
      <c r="F6" s="13" t="s">
        <v>225</v>
      </c>
    </row>
    <row r="7" customFormat="false" ht="15" hidden="false" customHeight="true" outlineLevel="0" collapsed="false">
      <c r="B7" s="6" t="s">
        <v>138</v>
      </c>
      <c r="C7" s="15" t="n">
        <v>3.9</v>
      </c>
      <c r="D7" s="13" t="s">
        <v>136</v>
      </c>
      <c r="F7" s="13" t="s">
        <v>226</v>
      </c>
    </row>
    <row r="8" customFormat="false" ht="15" hidden="false" customHeight="true" outlineLevel="0" collapsed="false">
      <c r="B8" s="6" t="s">
        <v>140</v>
      </c>
      <c r="C8" s="25" t="n">
        <v>0.00895</v>
      </c>
      <c r="D8" s="13" t="s">
        <v>141</v>
      </c>
      <c r="F8" s="13" t="s">
        <v>227</v>
      </c>
    </row>
    <row r="9" customFormat="false" ht="15" hidden="false" customHeight="true" outlineLevel="0" collapsed="false">
      <c r="B9" s="6" t="s">
        <v>143</v>
      </c>
      <c r="C9" s="12" t="n">
        <v>0</v>
      </c>
      <c r="D9" s="13" t="s">
        <v>144</v>
      </c>
      <c r="F9" s="13" t="s">
        <v>228</v>
      </c>
    </row>
    <row r="10" customFormat="false" ht="15" hidden="false" customHeight="true" outlineLevel="0" collapsed="false">
      <c r="B10" s="6" t="s">
        <v>146</v>
      </c>
      <c r="C10" s="23" t="n">
        <v>0.91</v>
      </c>
      <c r="D10" s="13" t="s">
        <v>133</v>
      </c>
    </row>
    <row r="11" customFormat="false" ht="15" hidden="false" customHeight="true" outlineLevel="0" collapsed="false">
      <c r="B11" s="6" t="s">
        <v>148</v>
      </c>
      <c r="C11" s="23" t="n">
        <v>0</v>
      </c>
      <c r="D11" s="13" t="s">
        <v>133</v>
      </c>
    </row>
    <row r="12" customFormat="false" ht="15" hidden="false" customHeight="true" outlineLevel="0" collapsed="false">
      <c r="B12" s="6" t="s">
        <v>150</v>
      </c>
      <c r="C12" s="23" t="n">
        <v>0.965</v>
      </c>
      <c r="D12" s="13" t="s">
        <v>133</v>
      </c>
    </row>
    <row r="13" customFormat="false" ht="15" hidden="false" customHeight="true" outlineLevel="0" collapsed="false">
      <c r="B13" s="6" t="s">
        <v>151</v>
      </c>
      <c r="C13" s="23" t="n">
        <v>0</v>
      </c>
      <c r="D13" s="13" t="s">
        <v>133</v>
      </c>
    </row>
    <row r="14" customFormat="false" ht="15" hidden="false" customHeight="true" outlineLevel="0" collapsed="false">
      <c r="B14" s="6" t="s">
        <v>152</v>
      </c>
      <c r="C14" s="12" t="n">
        <v>4.2</v>
      </c>
      <c r="D14" s="13" t="s">
        <v>153</v>
      </c>
    </row>
    <row r="15" customFormat="false" ht="15" hidden="false" customHeight="true" outlineLevel="0" collapsed="false">
      <c r="B15" s="6" t="s">
        <v>154</v>
      </c>
      <c r="C15" s="12" t="n">
        <v>4.2</v>
      </c>
      <c r="D15" s="13" t="s">
        <v>153</v>
      </c>
    </row>
    <row r="16" customFormat="false" ht="15" hidden="false" customHeight="true" outlineLevel="0" collapsed="false">
      <c r="B16" s="6" t="s">
        <v>155</v>
      </c>
      <c r="C16" s="22" t="n">
        <v>2027</v>
      </c>
      <c r="D16" s="13" t="s">
        <v>156</v>
      </c>
    </row>
    <row r="17" customFormat="false" ht="15" hidden="false" customHeight="true" outlineLevel="0" collapsed="false">
      <c r="B17" s="6" t="s">
        <v>157</v>
      </c>
      <c r="C17" s="22" t="n">
        <v>2027</v>
      </c>
      <c r="D17" s="13" t="s">
        <v>156</v>
      </c>
    </row>
    <row r="18" customFormat="false" ht="15" hidden="false" customHeight="true" outlineLevel="0" collapsed="false">
      <c r="B18" s="6" t="s">
        <v>158</v>
      </c>
      <c r="C18" s="12" t="n">
        <v>37</v>
      </c>
      <c r="D18" s="13" t="s">
        <v>159</v>
      </c>
    </row>
    <row r="19" customFormat="false" ht="15" hidden="false" customHeight="true" outlineLevel="0" collapsed="false">
      <c r="B19" s="6" t="s">
        <v>160</v>
      </c>
      <c r="C19" s="12" t="n">
        <v>0.35</v>
      </c>
      <c r="D19" s="13" t="s">
        <v>161</v>
      </c>
    </row>
    <row r="20" customFormat="false" ht="15" hidden="false" customHeight="true" outlineLevel="0" collapsed="false">
      <c r="B20" s="6" t="s">
        <v>162</v>
      </c>
      <c r="C20" s="24" t="n">
        <v>55</v>
      </c>
      <c r="D20" s="13" t="s">
        <v>163</v>
      </c>
    </row>
    <row r="21" customFormat="false" ht="15" hidden="false" customHeight="true" outlineLevel="0" collapsed="false">
      <c r="B21" s="6" t="s">
        <v>164</v>
      </c>
      <c r="C21" s="24" t="n">
        <v>60</v>
      </c>
      <c r="D21" s="13" t="s">
        <v>165</v>
      </c>
    </row>
    <row r="22" customFormat="false" ht="15" hidden="false" customHeight="true" outlineLevel="0" collapsed="false">
      <c r="B22" s="6" t="s">
        <v>166</v>
      </c>
      <c r="C22" s="22" t="n">
        <v>2027</v>
      </c>
      <c r="D22" s="13" t="s">
        <v>156</v>
      </c>
    </row>
    <row r="23" customFormat="false" ht="15" hidden="false" customHeight="true" outlineLevel="0" collapsed="false">
      <c r="B23" s="6" t="s">
        <v>167</v>
      </c>
      <c r="C23" s="22" t="n">
        <v>1</v>
      </c>
      <c r="D23" s="13" t="s">
        <v>168</v>
      </c>
    </row>
    <row r="24" customFormat="false" ht="15" hidden="false" customHeight="true" outlineLevel="0" collapsed="false">
      <c r="B24" s="6" t="s">
        <v>169</v>
      </c>
      <c r="C24" s="24" t="n">
        <v>50</v>
      </c>
      <c r="D24" s="13" t="s">
        <v>165</v>
      </c>
    </row>
    <row r="25" customFormat="false" ht="15" hidden="false" customHeight="true" outlineLevel="0" collapsed="false">
      <c r="B25" s="6" t="s">
        <v>170</v>
      </c>
      <c r="C25" s="25" t="n">
        <v>0.02</v>
      </c>
      <c r="D25" s="13" t="s">
        <v>171</v>
      </c>
    </row>
    <row r="26" customFormat="false" ht="15" hidden="false" customHeight="true" outlineLevel="0" collapsed="false">
      <c r="B26" s="6" t="s">
        <v>172</v>
      </c>
      <c r="C26" s="23" t="n">
        <v>0.1525</v>
      </c>
      <c r="D26" s="13" t="s">
        <v>133</v>
      </c>
    </row>
    <row r="27" customFormat="false" ht="15" hidden="false" customHeight="true" outlineLevel="0" collapsed="false">
      <c r="B27" s="6" t="s">
        <v>173</v>
      </c>
      <c r="C27" s="25" t="n">
        <v>0</v>
      </c>
      <c r="D27" s="13" t="s">
        <v>174</v>
      </c>
    </row>
    <row r="28" customFormat="false" ht="15" hidden="false" customHeight="true" outlineLevel="0" collapsed="false">
      <c r="B28" s="6" t="s">
        <v>175</v>
      </c>
      <c r="C28" s="14" t="n">
        <v>0</v>
      </c>
      <c r="D28" s="13" t="s">
        <v>50</v>
      </c>
    </row>
    <row r="29" customFormat="false" ht="15" hidden="false" customHeight="true" outlineLevel="0" collapsed="false">
      <c r="B29" s="6" t="s">
        <v>176</v>
      </c>
      <c r="C29" s="25" t="n">
        <v>0</v>
      </c>
      <c r="D29" s="13" t="s">
        <v>177</v>
      </c>
    </row>
    <row r="30" customFormat="false" ht="15" hidden="false" customHeight="true" outlineLevel="0" collapsed="false">
      <c r="B30" s="6" t="s">
        <v>178</v>
      </c>
      <c r="C30" s="23" t="n">
        <v>0</v>
      </c>
      <c r="D30" s="13" t="s">
        <v>179</v>
      </c>
    </row>
    <row r="31" customFormat="false" ht="15" hidden="false" customHeight="true" outlineLevel="0" collapsed="false">
      <c r="B31" s="5" t="s">
        <v>66</v>
      </c>
      <c r="C31" s="26" t="n">
        <f aca="false">Inputs!$C$25</f>
        <v>0.08</v>
      </c>
      <c r="D31" s="13" t="s">
        <v>180</v>
      </c>
    </row>
    <row r="34" customFormat="false" ht="15" hidden="false" customHeight="true" outlineLevel="0" collapsed="false">
      <c r="B34" s="4" t="s">
        <v>181</v>
      </c>
      <c r="C34" s="4" t="s">
        <v>130</v>
      </c>
      <c r="D34" s="4" t="s">
        <v>182</v>
      </c>
      <c r="F34" s="4" t="n">
        <v>2027</v>
      </c>
      <c r="G34" s="4" t="n">
        <v>2028</v>
      </c>
      <c r="H34" s="4" t="n">
        <v>2029</v>
      </c>
      <c r="I34" s="4" t="n">
        <v>2030</v>
      </c>
      <c r="J34" s="4" t="n">
        <v>2031</v>
      </c>
      <c r="K34" s="4" t="n">
        <v>2032</v>
      </c>
      <c r="L34" s="4" t="n">
        <v>2033</v>
      </c>
      <c r="M34" s="4" t="n">
        <v>2034</v>
      </c>
      <c r="N34" s="4" t="n">
        <v>2035</v>
      </c>
      <c r="O34" s="4" t="n">
        <v>2036</v>
      </c>
      <c r="P34" s="4" t="n">
        <v>2037</v>
      </c>
      <c r="Q34" s="4" t="n">
        <v>2038</v>
      </c>
      <c r="R34" s="4" t="n">
        <v>2039</v>
      </c>
      <c r="S34" s="4" t="n">
        <v>2040</v>
      </c>
      <c r="T34" s="4" t="n">
        <v>2041</v>
      </c>
      <c r="U34" s="4" t="n">
        <v>2042</v>
      </c>
      <c r="V34" s="4" t="n">
        <v>2043</v>
      </c>
      <c r="W34" s="4" t="n">
        <v>2044</v>
      </c>
      <c r="X34" s="4" t="n">
        <v>2045</v>
      </c>
      <c r="Y34" s="4" t="n">
        <v>2046</v>
      </c>
      <c r="Z34" s="4" t="n">
        <v>2047</v>
      </c>
      <c r="AA34" s="4" t="n">
        <v>2048</v>
      </c>
      <c r="AB34" s="4" t="n">
        <v>2049</v>
      </c>
      <c r="AC34" s="4" t="n">
        <v>2050</v>
      </c>
    </row>
    <row r="35" customFormat="false" ht="15" hidden="false" customHeight="true" outlineLevel="0" collapsed="false">
      <c r="B35" s="6" t="s">
        <v>183</v>
      </c>
      <c r="C35" s="13"/>
      <c r="F35" s="27" t="n">
        <f aca="false">F$34-2027+1</f>
        <v>1</v>
      </c>
      <c r="G35" s="27" t="n">
        <f aca="false">G$34-2027+1</f>
        <v>2</v>
      </c>
      <c r="H35" s="27" t="n">
        <f aca="false">H$34-2027+1</f>
        <v>3</v>
      </c>
      <c r="I35" s="27" t="n">
        <f aca="false">I$34-2027+1</f>
        <v>4</v>
      </c>
      <c r="J35" s="27" t="n">
        <f aca="false">J$34-2027+1</f>
        <v>5</v>
      </c>
      <c r="K35" s="27" t="n">
        <f aca="false">K$34-2027+1</f>
        <v>6</v>
      </c>
      <c r="L35" s="27" t="n">
        <f aca="false">L$34-2027+1</f>
        <v>7</v>
      </c>
      <c r="M35" s="27" t="n">
        <f aca="false">M$34-2027+1</f>
        <v>8</v>
      </c>
      <c r="N35" s="27" t="n">
        <f aca="false">N$34-2027+1</f>
        <v>9</v>
      </c>
      <c r="O35" s="27" t="n">
        <f aca="false">O$34-2027+1</f>
        <v>10</v>
      </c>
      <c r="P35" s="27" t="n">
        <f aca="false">P$34-2027+1</f>
        <v>11</v>
      </c>
      <c r="Q35" s="27" t="n">
        <f aca="false">Q$34-2027+1</f>
        <v>12</v>
      </c>
      <c r="R35" s="27" t="n">
        <f aca="false">R$34-2027+1</f>
        <v>13</v>
      </c>
      <c r="S35" s="27" t="n">
        <f aca="false">S$34-2027+1</f>
        <v>14</v>
      </c>
      <c r="T35" s="27" t="n">
        <f aca="false">T$34-2027+1</f>
        <v>15</v>
      </c>
      <c r="U35" s="27" t="n">
        <f aca="false">U$34-2027+1</f>
        <v>16</v>
      </c>
      <c r="V35" s="27" t="n">
        <f aca="false">V$34-2027+1</f>
        <v>17</v>
      </c>
      <c r="W35" s="27" t="n">
        <f aca="false">W$34-2027+1</f>
        <v>18</v>
      </c>
      <c r="X35" s="27" t="n">
        <f aca="false">X$34-2027+1</f>
        <v>19</v>
      </c>
      <c r="Y35" s="27" t="n">
        <f aca="false">Y$34-2027+1</f>
        <v>20</v>
      </c>
      <c r="Z35" s="27" t="n">
        <f aca="false">Z$34-2027+1</f>
        <v>21</v>
      </c>
      <c r="AA35" s="27" t="n">
        <f aca="false">AA$34-2027+1</f>
        <v>22</v>
      </c>
      <c r="AB35" s="27" t="n">
        <f aca="false">AB$34-2027+1</f>
        <v>23</v>
      </c>
      <c r="AC35" s="27" t="n">
        <f aca="false">AC$34-2027+1</f>
        <v>24</v>
      </c>
    </row>
    <row r="36" customFormat="false" ht="15" hidden="false" customHeight="true" outlineLevel="0" collapsed="false">
      <c r="B36" s="6" t="s">
        <v>184</v>
      </c>
      <c r="C36" s="13" t="s">
        <v>47</v>
      </c>
      <c r="F36" s="28" t="n">
        <f aca="false">Inputs!F$18</f>
        <v>6</v>
      </c>
      <c r="G36" s="28" t="n">
        <f aca="false">Inputs!G$18</f>
        <v>5.5</v>
      </c>
      <c r="H36" s="28" t="n">
        <f aca="false">Inputs!H$18</f>
        <v>5</v>
      </c>
      <c r="I36" s="28" t="n">
        <f aca="false">Inputs!I$18</f>
        <v>5</v>
      </c>
      <c r="J36" s="28" t="n">
        <f aca="false">Inputs!J$18</f>
        <v>5</v>
      </c>
      <c r="K36" s="28" t="n">
        <f aca="false">Inputs!K$18</f>
        <v>5</v>
      </c>
      <c r="L36" s="28" t="n">
        <f aca="false">Inputs!L$18</f>
        <v>5</v>
      </c>
      <c r="M36" s="28" t="n">
        <f aca="false">Inputs!M$18</f>
        <v>5</v>
      </c>
      <c r="N36" s="28" t="n">
        <f aca="false">Inputs!N$18</f>
        <v>5</v>
      </c>
      <c r="O36" s="28" t="n">
        <f aca="false">Inputs!O$18</f>
        <v>5</v>
      </c>
      <c r="P36" s="28" t="n">
        <f aca="false">Inputs!P$18</f>
        <v>5</v>
      </c>
      <c r="Q36" s="28" t="n">
        <f aca="false">Inputs!Q$18</f>
        <v>5</v>
      </c>
      <c r="R36" s="28" t="n">
        <f aca="false">Inputs!R$18</f>
        <v>5</v>
      </c>
      <c r="S36" s="28" t="n">
        <f aca="false">Inputs!S$18</f>
        <v>5</v>
      </c>
      <c r="T36" s="28" t="n">
        <f aca="false">Inputs!T$18</f>
        <v>5</v>
      </c>
      <c r="U36" s="28" t="n">
        <f aca="false">Inputs!U$18</f>
        <v>5</v>
      </c>
      <c r="V36" s="28" t="n">
        <f aca="false">Inputs!V$18</f>
        <v>5</v>
      </c>
      <c r="W36" s="28" t="n">
        <f aca="false">Inputs!W$18</f>
        <v>5</v>
      </c>
      <c r="X36" s="28" t="n">
        <f aca="false">Inputs!X$18</f>
        <v>5</v>
      </c>
      <c r="Y36" s="28" t="n">
        <f aca="false">Inputs!Y$18</f>
        <v>5</v>
      </c>
      <c r="Z36" s="28" t="n">
        <f aca="false">Inputs!Z$18</f>
        <v>5</v>
      </c>
      <c r="AA36" s="28" t="n">
        <f aca="false">Inputs!AA$18</f>
        <v>5</v>
      </c>
      <c r="AB36" s="28" t="n">
        <f aca="false">Inputs!AB$18</f>
        <v>5</v>
      </c>
      <c r="AC36" s="28" t="n">
        <f aca="false">Inputs!AC$18</f>
        <v>5</v>
      </c>
    </row>
    <row r="37" customFormat="false" ht="15" hidden="false" customHeight="true" outlineLevel="0" collapsed="false">
      <c r="B37" s="6" t="s">
        <v>185</v>
      </c>
      <c r="C37" s="13" t="s">
        <v>50</v>
      </c>
      <c r="F37" s="29" t="n">
        <f aca="false">Inputs!F$19</f>
        <v>3900</v>
      </c>
      <c r="G37" s="29" t="n">
        <f aca="false">Inputs!G$19</f>
        <v>3600</v>
      </c>
      <c r="H37" s="29" t="n">
        <f aca="false">Inputs!H$19</f>
        <v>3300</v>
      </c>
      <c r="I37" s="29" t="n">
        <f aca="false">Inputs!I$19</f>
        <v>3300</v>
      </c>
      <c r="J37" s="29" t="n">
        <f aca="false">Inputs!J$19</f>
        <v>3300</v>
      </c>
      <c r="K37" s="29" t="n">
        <f aca="false">Inputs!K$19</f>
        <v>3300</v>
      </c>
      <c r="L37" s="29" t="n">
        <f aca="false">Inputs!L$19</f>
        <v>3300</v>
      </c>
      <c r="M37" s="29" t="n">
        <f aca="false">Inputs!M$19</f>
        <v>3300</v>
      </c>
      <c r="N37" s="29" t="n">
        <f aca="false">Inputs!N$19</f>
        <v>3300</v>
      </c>
      <c r="O37" s="29" t="n">
        <f aca="false">Inputs!O$19</f>
        <v>3300</v>
      </c>
      <c r="P37" s="29" t="n">
        <f aca="false">Inputs!P$19</f>
        <v>3300</v>
      </c>
      <c r="Q37" s="29" t="n">
        <f aca="false">Inputs!Q$19</f>
        <v>3300</v>
      </c>
      <c r="R37" s="29" t="n">
        <f aca="false">Inputs!R$19</f>
        <v>3300</v>
      </c>
      <c r="S37" s="29" t="n">
        <f aca="false">Inputs!S$19</f>
        <v>3300</v>
      </c>
      <c r="T37" s="29" t="n">
        <f aca="false">Inputs!T$19</f>
        <v>3300</v>
      </c>
      <c r="U37" s="29" t="n">
        <f aca="false">Inputs!U$19</f>
        <v>3300</v>
      </c>
      <c r="V37" s="29" t="n">
        <f aca="false">Inputs!V$19</f>
        <v>3300</v>
      </c>
      <c r="W37" s="29" t="n">
        <f aca="false">Inputs!W$19</f>
        <v>3300</v>
      </c>
      <c r="X37" s="29" t="n">
        <f aca="false">Inputs!X$19</f>
        <v>3300</v>
      </c>
      <c r="Y37" s="29" t="n">
        <f aca="false">Inputs!Y$19</f>
        <v>3300</v>
      </c>
      <c r="Z37" s="29" t="n">
        <f aca="false">Inputs!Z$19</f>
        <v>3300</v>
      </c>
      <c r="AA37" s="29" t="n">
        <f aca="false">Inputs!AA$19</f>
        <v>3300</v>
      </c>
      <c r="AB37" s="29" t="n">
        <f aca="false">Inputs!AB$19</f>
        <v>3300</v>
      </c>
      <c r="AC37" s="29" t="n">
        <f aca="false">Inputs!AC$19</f>
        <v>3300</v>
      </c>
    </row>
    <row r="38" customFormat="false" ht="15" hidden="false" customHeight="true" outlineLevel="0" collapsed="false">
      <c r="B38" s="6" t="s">
        <v>186</v>
      </c>
      <c r="C38" s="13" t="s">
        <v>136</v>
      </c>
      <c r="F38" s="19" t="n">
        <f aca="false">IF(F$34&lt;$C$17,0,IF(F$34&gt;=$C$16,$C$15,$C$14))</f>
        <v>4.2</v>
      </c>
      <c r="G38" s="19" t="n">
        <f aca="false">IF(G$34&lt;$C$17,0,IF(G$34&gt;=$C$16,$C$15,$C$14))</f>
        <v>4.2</v>
      </c>
      <c r="H38" s="19" t="n">
        <f aca="false">IF(H$34&lt;$C$17,0,IF(H$34&gt;=$C$16,$C$15,$C$14))</f>
        <v>4.2</v>
      </c>
      <c r="I38" s="19" t="n">
        <f aca="false">IF(I$34&lt;$C$17,0,IF(I$34&gt;=$C$16,$C$15,$C$14))</f>
        <v>4.2</v>
      </c>
      <c r="J38" s="19" t="n">
        <f aca="false">IF(J$34&lt;$C$17,0,IF(J$34&gt;=$C$16,$C$15,$C$14))</f>
        <v>4.2</v>
      </c>
      <c r="K38" s="19" t="n">
        <f aca="false">IF(K$34&lt;$C$17,0,IF(K$34&gt;=$C$16,$C$15,$C$14))</f>
        <v>4.2</v>
      </c>
      <c r="L38" s="19" t="n">
        <f aca="false">IF(L$34&lt;$C$17,0,IF(L$34&gt;=$C$16,$C$15,$C$14))</f>
        <v>4.2</v>
      </c>
      <c r="M38" s="19" t="n">
        <f aca="false">IF(M$34&lt;$C$17,0,IF(M$34&gt;=$C$16,$C$15,$C$14))</f>
        <v>4.2</v>
      </c>
      <c r="N38" s="19" t="n">
        <f aca="false">IF(N$34&lt;$C$17,0,IF(N$34&gt;=$C$16,$C$15,$C$14))</f>
        <v>4.2</v>
      </c>
      <c r="O38" s="19" t="n">
        <f aca="false">IF(O$34&lt;$C$17,0,IF(O$34&gt;=$C$16,$C$15,$C$14))</f>
        <v>4.2</v>
      </c>
      <c r="P38" s="19" t="n">
        <f aca="false">IF(P$34&lt;$C$17,0,IF(P$34&gt;=$C$16,$C$15,$C$14))</f>
        <v>4.2</v>
      </c>
      <c r="Q38" s="19" t="n">
        <f aca="false">IF(Q$34&lt;$C$17,0,IF(Q$34&gt;=$C$16,$C$15,$C$14))</f>
        <v>4.2</v>
      </c>
      <c r="R38" s="19" t="n">
        <f aca="false">IF(R$34&lt;$C$17,0,IF(R$34&gt;=$C$16,$C$15,$C$14))</f>
        <v>4.2</v>
      </c>
      <c r="S38" s="19" t="n">
        <f aca="false">IF(S$34&lt;$C$17,0,IF(S$34&gt;=$C$16,$C$15,$C$14))</f>
        <v>4.2</v>
      </c>
      <c r="T38" s="19" t="n">
        <f aca="false">IF(T$34&lt;$C$17,0,IF(T$34&gt;=$C$16,$C$15,$C$14))</f>
        <v>4.2</v>
      </c>
      <c r="U38" s="19" t="n">
        <f aca="false">IF(U$34&lt;$C$17,0,IF(U$34&gt;=$C$16,$C$15,$C$14))</f>
        <v>4.2</v>
      </c>
      <c r="V38" s="19" t="n">
        <f aca="false">IF(V$34&lt;$C$17,0,IF(V$34&gt;=$C$16,$C$15,$C$14))</f>
        <v>4.2</v>
      </c>
      <c r="W38" s="19" t="n">
        <f aca="false">IF(W$34&lt;$C$17,0,IF(W$34&gt;=$C$16,$C$15,$C$14))</f>
        <v>4.2</v>
      </c>
      <c r="X38" s="19" t="n">
        <f aca="false">IF(X$34&lt;$C$17,0,IF(X$34&gt;=$C$16,$C$15,$C$14))</f>
        <v>4.2</v>
      </c>
      <c r="Y38" s="19" t="n">
        <f aca="false">IF(Y$34&lt;$C$17,0,IF(Y$34&gt;=$C$16,$C$15,$C$14))</f>
        <v>4.2</v>
      </c>
      <c r="Z38" s="19" t="n">
        <f aca="false">IF(Z$34&lt;$C$17,0,IF(Z$34&gt;=$C$16,$C$15,$C$14))</f>
        <v>4.2</v>
      </c>
      <c r="AA38" s="19" t="n">
        <f aca="false">IF(AA$34&lt;$C$17,0,IF(AA$34&gt;=$C$16,$C$15,$C$14))</f>
        <v>4.2</v>
      </c>
      <c r="AB38" s="19" t="n">
        <f aca="false">IF(AB$34&lt;$C$17,0,IF(AB$34&gt;=$C$16,$C$15,$C$14))</f>
        <v>4.2</v>
      </c>
      <c r="AC38" s="19" t="n">
        <f aca="false">IF(AC$34&lt;$C$17,0,IF(AC$34&gt;=$C$16,$C$15,$C$14))</f>
        <v>4.2</v>
      </c>
    </row>
    <row r="39" customFormat="false" ht="15" hidden="false" customHeight="true" outlineLevel="0" collapsed="false">
      <c r="B39" s="6" t="s">
        <v>187</v>
      </c>
      <c r="C39" s="13" t="s">
        <v>136</v>
      </c>
      <c r="F39" s="30" t="n">
        <f aca="false">$C$6-$C$7</f>
        <v>69.158</v>
      </c>
      <c r="G39" s="30" t="n">
        <f aca="false">F41</f>
        <v>64.958</v>
      </c>
      <c r="H39" s="30" t="n">
        <f aca="false">G41</f>
        <v>60.758</v>
      </c>
      <c r="I39" s="30" t="n">
        <f aca="false">H41</f>
        <v>56.558</v>
      </c>
      <c r="J39" s="30" t="n">
        <f aca="false">I41</f>
        <v>52.358</v>
      </c>
      <c r="K39" s="30" t="n">
        <f aca="false">J41</f>
        <v>48.158</v>
      </c>
      <c r="L39" s="30" t="n">
        <f aca="false">K41</f>
        <v>43.958</v>
      </c>
      <c r="M39" s="30" t="n">
        <f aca="false">L41</f>
        <v>39.758</v>
      </c>
      <c r="N39" s="30" t="n">
        <f aca="false">M41</f>
        <v>35.558</v>
      </c>
      <c r="O39" s="30" t="n">
        <f aca="false">N41</f>
        <v>31.358</v>
      </c>
      <c r="P39" s="30" t="n">
        <f aca="false">O41</f>
        <v>27.158</v>
      </c>
      <c r="Q39" s="30" t="n">
        <f aca="false">P41</f>
        <v>22.958</v>
      </c>
      <c r="R39" s="30" t="n">
        <f aca="false">Q41</f>
        <v>18.758</v>
      </c>
      <c r="S39" s="30" t="n">
        <f aca="false">R41</f>
        <v>14.558</v>
      </c>
      <c r="T39" s="30" t="n">
        <f aca="false">S41</f>
        <v>10.358</v>
      </c>
      <c r="U39" s="30" t="n">
        <f aca="false">T41</f>
        <v>6.15799999999998</v>
      </c>
      <c r="V39" s="30" t="n">
        <f aca="false">U41</f>
        <v>1.95799999999998</v>
      </c>
      <c r="W39" s="30" t="n">
        <f aca="false">V41</f>
        <v>0</v>
      </c>
      <c r="X39" s="30" t="n">
        <f aca="false">W41</f>
        <v>0</v>
      </c>
      <c r="Y39" s="30" t="n">
        <f aca="false">X41</f>
        <v>0</v>
      </c>
      <c r="Z39" s="30" t="n">
        <f aca="false">Y41</f>
        <v>0</v>
      </c>
      <c r="AA39" s="30" t="n">
        <f aca="false">Z41</f>
        <v>0</v>
      </c>
      <c r="AB39" s="30" t="n">
        <f aca="false">AA41</f>
        <v>0</v>
      </c>
      <c r="AC39" s="30" t="n">
        <f aca="false">AB41</f>
        <v>0</v>
      </c>
    </row>
    <row r="40" customFormat="false" ht="15" hidden="false" customHeight="true" outlineLevel="0" collapsed="false">
      <c r="B40" s="6" t="s">
        <v>188</v>
      </c>
      <c r="C40" s="13" t="s">
        <v>136</v>
      </c>
      <c r="D40" s="19" t="n">
        <f aca="false">SUM(F40:AC40)</f>
        <v>69.158</v>
      </c>
      <c r="F40" s="19" t="n">
        <f aca="false">MAX(0,MIN(F38,F39))</f>
        <v>4.2</v>
      </c>
      <c r="G40" s="19" t="n">
        <f aca="false">MAX(0,MIN(G38,G39))</f>
        <v>4.2</v>
      </c>
      <c r="H40" s="19" t="n">
        <f aca="false">MAX(0,MIN(H38,H39))</f>
        <v>4.2</v>
      </c>
      <c r="I40" s="19" t="n">
        <f aca="false">MAX(0,MIN(I38,I39))</f>
        <v>4.2</v>
      </c>
      <c r="J40" s="19" t="n">
        <f aca="false">MAX(0,MIN(J38,J39))</f>
        <v>4.2</v>
      </c>
      <c r="K40" s="19" t="n">
        <f aca="false">MAX(0,MIN(K38,K39))</f>
        <v>4.2</v>
      </c>
      <c r="L40" s="19" t="n">
        <f aca="false">MAX(0,MIN(L38,L39))</f>
        <v>4.2</v>
      </c>
      <c r="M40" s="19" t="n">
        <f aca="false">MAX(0,MIN(M38,M39))</f>
        <v>4.2</v>
      </c>
      <c r="N40" s="19" t="n">
        <f aca="false">MAX(0,MIN(N38,N39))</f>
        <v>4.2</v>
      </c>
      <c r="O40" s="19" t="n">
        <f aca="false">MAX(0,MIN(O38,O39))</f>
        <v>4.2</v>
      </c>
      <c r="P40" s="19" t="n">
        <f aca="false">MAX(0,MIN(P38,P39))</f>
        <v>4.2</v>
      </c>
      <c r="Q40" s="19" t="n">
        <f aca="false">MAX(0,MIN(Q38,Q39))</f>
        <v>4.2</v>
      </c>
      <c r="R40" s="19" t="n">
        <f aca="false">MAX(0,MIN(R38,R39))</f>
        <v>4.2</v>
      </c>
      <c r="S40" s="19" t="n">
        <f aca="false">MAX(0,MIN(S38,S39))</f>
        <v>4.2</v>
      </c>
      <c r="T40" s="19" t="n">
        <f aca="false">MAX(0,MIN(T38,T39))</f>
        <v>4.2</v>
      </c>
      <c r="U40" s="19" t="n">
        <f aca="false">MAX(0,MIN(U38,U39))</f>
        <v>4.2</v>
      </c>
      <c r="V40" s="19" t="n">
        <f aca="false">MAX(0,MIN(V38,V39))</f>
        <v>1.95799999999998</v>
      </c>
      <c r="W40" s="19" t="n">
        <f aca="false">MAX(0,MIN(W38,W39))</f>
        <v>0</v>
      </c>
      <c r="X40" s="19" t="n">
        <f aca="false">MAX(0,MIN(X38,X39))</f>
        <v>0</v>
      </c>
      <c r="Y40" s="19" t="n">
        <f aca="false">MAX(0,MIN(Y38,Y39))</f>
        <v>0</v>
      </c>
      <c r="Z40" s="19" t="n">
        <f aca="false">MAX(0,MIN(Z38,Z39))</f>
        <v>0</v>
      </c>
      <c r="AA40" s="19" t="n">
        <f aca="false">MAX(0,MIN(AA38,AA39))</f>
        <v>0</v>
      </c>
      <c r="AB40" s="19" t="n">
        <f aca="false">MAX(0,MIN(AB38,AB39))</f>
        <v>0</v>
      </c>
      <c r="AC40" s="19" t="n">
        <f aca="false">MAX(0,MIN(AC38,AC39))</f>
        <v>0</v>
      </c>
    </row>
    <row r="41" customFormat="false" ht="15" hidden="false" customHeight="true" outlineLevel="0" collapsed="false">
      <c r="B41" s="6" t="s">
        <v>189</v>
      </c>
      <c r="C41" s="13" t="s">
        <v>136</v>
      </c>
      <c r="F41" s="30" t="n">
        <f aca="false">F39-F40</f>
        <v>64.958</v>
      </c>
      <c r="G41" s="30" t="n">
        <f aca="false">G39-G40</f>
        <v>60.758</v>
      </c>
      <c r="H41" s="30" t="n">
        <f aca="false">H39-H40</f>
        <v>56.558</v>
      </c>
      <c r="I41" s="30" t="n">
        <f aca="false">I39-I40</f>
        <v>52.358</v>
      </c>
      <c r="J41" s="30" t="n">
        <f aca="false">J39-J40</f>
        <v>48.158</v>
      </c>
      <c r="K41" s="30" t="n">
        <f aca="false">K39-K40</f>
        <v>43.958</v>
      </c>
      <c r="L41" s="30" t="n">
        <f aca="false">L39-L40</f>
        <v>39.758</v>
      </c>
      <c r="M41" s="30" t="n">
        <f aca="false">M39-M40</f>
        <v>35.558</v>
      </c>
      <c r="N41" s="30" t="n">
        <f aca="false">N39-N40</f>
        <v>31.358</v>
      </c>
      <c r="O41" s="30" t="n">
        <f aca="false">O39-O40</f>
        <v>27.158</v>
      </c>
      <c r="P41" s="30" t="n">
        <f aca="false">P39-P40</f>
        <v>22.958</v>
      </c>
      <c r="Q41" s="30" t="n">
        <f aca="false">Q39-Q40</f>
        <v>18.758</v>
      </c>
      <c r="R41" s="30" t="n">
        <f aca="false">R39-R40</f>
        <v>14.558</v>
      </c>
      <c r="S41" s="30" t="n">
        <f aca="false">S39-S40</f>
        <v>10.358</v>
      </c>
      <c r="T41" s="30" t="n">
        <f aca="false">T39-T40</f>
        <v>6.15799999999998</v>
      </c>
      <c r="U41" s="30" t="n">
        <f aca="false">U39-U40</f>
        <v>1.95799999999998</v>
      </c>
      <c r="V41" s="30" t="n">
        <f aca="false">V39-V40</f>
        <v>0</v>
      </c>
      <c r="W41" s="30" t="n">
        <f aca="false">W39-W40</f>
        <v>0</v>
      </c>
      <c r="X41" s="30" t="n">
        <f aca="false">X39-X40</f>
        <v>0</v>
      </c>
      <c r="Y41" s="30" t="n">
        <f aca="false">Y39-Y40</f>
        <v>0</v>
      </c>
      <c r="Z41" s="30" t="n">
        <f aca="false">Z39-Z40</f>
        <v>0</v>
      </c>
      <c r="AA41" s="30" t="n">
        <f aca="false">AA39-AA40</f>
        <v>0</v>
      </c>
      <c r="AB41" s="30" t="n">
        <f aca="false">AB39-AB40</f>
        <v>0</v>
      </c>
      <c r="AC41" s="30" t="n">
        <f aca="false">AC39-AC40</f>
        <v>0</v>
      </c>
    </row>
    <row r="42" customFormat="false" ht="15" hidden="false" customHeight="true" outlineLevel="0" collapsed="false">
      <c r="B42" s="6" t="s">
        <v>190</v>
      </c>
      <c r="C42" s="13" t="s">
        <v>191</v>
      </c>
      <c r="D42" s="30" t="n">
        <f aca="false">SUM(F42:AC42)</f>
        <v>1198.3064838718</v>
      </c>
      <c r="F42" s="30" t="n">
        <f aca="false">F40*$C$8*$C$10*$C$12*2204.62</f>
        <v>72.77375332227</v>
      </c>
      <c r="G42" s="30" t="n">
        <f aca="false">G40*$C$8*$C$10*$C$12*2204.62</f>
        <v>72.77375332227</v>
      </c>
      <c r="H42" s="30" t="n">
        <f aca="false">H40*$C$8*$C$10*$C$12*2204.62</f>
        <v>72.77375332227</v>
      </c>
      <c r="I42" s="30" t="n">
        <f aca="false">I40*$C$8*$C$10*$C$12*2204.62</f>
        <v>72.77375332227</v>
      </c>
      <c r="J42" s="30" t="n">
        <f aca="false">J40*$C$8*$C$10*$C$12*2204.62</f>
        <v>72.77375332227</v>
      </c>
      <c r="K42" s="30" t="n">
        <f aca="false">K40*$C$8*$C$10*$C$12*2204.62</f>
        <v>72.77375332227</v>
      </c>
      <c r="L42" s="30" t="n">
        <f aca="false">L40*$C$8*$C$10*$C$12*2204.62</f>
        <v>72.77375332227</v>
      </c>
      <c r="M42" s="30" t="n">
        <f aca="false">M40*$C$8*$C$10*$C$12*2204.62</f>
        <v>72.77375332227</v>
      </c>
      <c r="N42" s="30" t="n">
        <f aca="false">N40*$C$8*$C$10*$C$12*2204.62</f>
        <v>72.77375332227</v>
      </c>
      <c r="O42" s="30" t="n">
        <f aca="false">O40*$C$8*$C$10*$C$12*2204.62</f>
        <v>72.77375332227</v>
      </c>
      <c r="P42" s="30" t="n">
        <f aca="false">P40*$C$8*$C$10*$C$12*2204.62</f>
        <v>72.77375332227</v>
      </c>
      <c r="Q42" s="30" t="n">
        <f aca="false">Q40*$C$8*$C$10*$C$12*2204.62</f>
        <v>72.77375332227</v>
      </c>
      <c r="R42" s="30" t="n">
        <f aca="false">R40*$C$8*$C$10*$C$12*2204.62</f>
        <v>72.77375332227</v>
      </c>
      <c r="S42" s="30" t="n">
        <f aca="false">S40*$C$8*$C$10*$C$12*2204.62</f>
        <v>72.77375332227</v>
      </c>
      <c r="T42" s="30" t="n">
        <f aca="false">T40*$C$8*$C$10*$C$12*2204.62</f>
        <v>72.77375332227</v>
      </c>
      <c r="U42" s="30" t="n">
        <f aca="false">U40*$C$8*$C$10*$C$12*2204.62</f>
        <v>72.77375332227</v>
      </c>
      <c r="V42" s="30" t="n">
        <f aca="false">V40*$C$8*$C$10*$C$12*2204.62</f>
        <v>33.926430715477</v>
      </c>
      <c r="W42" s="30" t="n">
        <f aca="false">W40*$C$8*$C$10*$C$12*2204.62</f>
        <v>0</v>
      </c>
      <c r="X42" s="30" t="n">
        <f aca="false">X40*$C$8*$C$10*$C$12*2204.62</f>
        <v>0</v>
      </c>
      <c r="Y42" s="30" t="n">
        <f aca="false">Y40*$C$8*$C$10*$C$12*2204.62</f>
        <v>0</v>
      </c>
      <c r="Z42" s="30" t="n">
        <f aca="false">Z40*$C$8*$C$10*$C$12*2204.62</f>
        <v>0</v>
      </c>
      <c r="AA42" s="30" t="n">
        <f aca="false">AA40*$C$8*$C$10*$C$12*2204.62</f>
        <v>0</v>
      </c>
      <c r="AB42" s="30" t="n">
        <f aca="false">AB40*$C$8*$C$10*$C$12*2204.62</f>
        <v>0</v>
      </c>
      <c r="AC42" s="30" t="n">
        <f aca="false">AC40*$C$8*$C$10*$C$12*2204.62</f>
        <v>0</v>
      </c>
    </row>
    <row r="43" customFormat="false" ht="15" hidden="false" customHeight="true" outlineLevel="0" collapsed="false">
      <c r="B43" s="6" t="s">
        <v>192</v>
      </c>
      <c r="C43" s="13" t="s">
        <v>193</v>
      </c>
      <c r="D43" s="30" t="n">
        <f aca="false">SUM(F43:AC43)</f>
        <v>0</v>
      </c>
      <c r="F43" s="30" t="n">
        <f aca="false">F40*$C$9*$C$11*$C$13*1000/31.1035</f>
        <v>0</v>
      </c>
      <c r="G43" s="30" t="n">
        <f aca="false">G40*$C$9*$C$11*$C$13*1000/31.1035</f>
        <v>0</v>
      </c>
      <c r="H43" s="30" t="n">
        <f aca="false">H40*$C$9*$C$11*$C$13*1000/31.1035</f>
        <v>0</v>
      </c>
      <c r="I43" s="30" t="n">
        <f aca="false">I40*$C$9*$C$11*$C$13*1000/31.1035</f>
        <v>0</v>
      </c>
      <c r="J43" s="30" t="n">
        <f aca="false">J40*$C$9*$C$11*$C$13*1000/31.1035</f>
        <v>0</v>
      </c>
      <c r="K43" s="30" t="n">
        <f aca="false">K40*$C$9*$C$11*$C$13*1000/31.1035</f>
        <v>0</v>
      </c>
      <c r="L43" s="30" t="n">
        <f aca="false">L40*$C$9*$C$11*$C$13*1000/31.1035</f>
        <v>0</v>
      </c>
      <c r="M43" s="30" t="n">
        <f aca="false">M40*$C$9*$C$11*$C$13*1000/31.1035</f>
        <v>0</v>
      </c>
      <c r="N43" s="30" t="n">
        <f aca="false">N40*$C$9*$C$11*$C$13*1000/31.1035</f>
        <v>0</v>
      </c>
      <c r="O43" s="30" t="n">
        <f aca="false">O40*$C$9*$C$11*$C$13*1000/31.1035</f>
        <v>0</v>
      </c>
      <c r="P43" s="30" t="n">
        <f aca="false">P40*$C$9*$C$11*$C$13*1000/31.1035</f>
        <v>0</v>
      </c>
      <c r="Q43" s="30" t="n">
        <f aca="false">Q40*$C$9*$C$11*$C$13*1000/31.1035</f>
        <v>0</v>
      </c>
      <c r="R43" s="30" t="n">
        <f aca="false">R40*$C$9*$C$11*$C$13*1000/31.1035</f>
        <v>0</v>
      </c>
      <c r="S43" s="30" t="n">
        <f aca="false">S40*$C$9*$C$11*$C$13*1000/31.1035</f>
        <v>0</v>
      </c>
      <c r="T43" s="30" t="n">
        <f aca="false">T40*$C$9*$C$11*$C$13*1000/31.1035</f>
        <v>0</v>
      </c>
      <c r="U43" s="30" t="n">
        <f aca="false">U40*$C$9*$C$11*$C$13*1000/31.1035</f>
        <v>0</v>
      </c>
      <c r="V43" s="30" t="n">
        <f aca="false">V40*$C$9*$C$11*$C$13*1000/31.1035</f>
        <v>0</v>
      </c>
      <c r="W43" s="30" t="n">
        <f aca="false">W40*$C$9*$C$11*$C$13*1000/31.1035</f>
        <v>0</v>
      </c>
      <c r="X43" s="30" t="n">
        <f aca="false">X40*$C$9*$C$11*$C$13*1000/31.1035</f>
        <v>0</v>
      </c>
      <c r="Y43" s="30" t="n">
        <f aca="false">Y40*$C$9*$C$11*$C$13*1000/31.1035</f>
        <v>0</v>
      </c>
      <c r="Z43" s="30" t="n">
        <f aca="false">Z40*$C$9*$C$11*$C$13*1000/31.1035</f>
        <v>0</v>
      </c>
      <c r="AA43" s="30" t="n">
        <f aca="false">AA40*$C$9*$C$11*$C$13*1000/31.1035</f>
        <v>0</v>
      </c>
      <c r="AB43" s="30" t="n">
        <f aca="false">AB40*$C$9*$C$11*$C$13*1000/31.1035</f>
        <v>0</v>
      </c>
      <c r="AC43" s="30" t="n">
        <f aca="false">AC40*$C$9*$C$11*$C$13*1000/31.1035</f>
        <v>0</v>
      </c>
    </row>
    <row r="44" customFormat="false" ht="15" hidden="false" customHeight="true" outlineLevel="0" collapsed="false">
      <c r="B44" s="6" t="s">
        <v>194</v>
      </c>
      <c r="C44" s="13" t="s">
        <v>47</v>
      </c>
      <c r="F44" s="19" t="n">
        <f aca="false">F36*(1-$C$29)+F36*$C$29*$C$30</f>
        <v>6</v>
      </c>
      <c r="G44" s="19" t="n">
        <f aca="false">G36*(1-$C$29)+G36*$C$29*$C$30</f>
        <v>5.5</v>
      </c>
      <c r="H44" s="19" t="n">
        <f aca="false">H36*(1-$C$29)+H36*$C$29*$C$30</f>
        <v>5</v>
      </c>
      <c r="I44" s="19" t="n">
        <f aca="false">I36*(1-$C$29)+I36*$C$29*$C$30</f>
        <v>5</v>
      </c>
      <c r="J44" s="19" t="n">
        <f aca="false">J36*(1-$C$29)+J36*$C$29*$C$30</f>
        <v>5</v>
      </c>
      <c r="K44" s="19" t="n">
        <f aca="false">K36*(1-$C$29)+K36*$C$29*$C$30</f>
        <v>5</v>
      </c>
      <c r="L44" s="19" t="n">
        <f aca="false">L36*(1-$C$29)+L36*$C$29*$C$30</f>
        <v>5</v>
      </c>
      <c r="M44" s="19" t="n">
        <f aca="false">M36*(1-$C$29)+M36*$C$29*$C$30</f>
        <v>5</v>
      </c>
      <c r="N44" s="19" t="n">
        <f aca="false">N36*(1-$C$29)+N36*$C$29*$C$30</f>
        <v>5</v>
      </c>
      <c r="O44" s="19" t="n">
        <f aca="false">O36*(1-$C$29)+O36*$C$29*$C$30</f>
        <v>5</v>
      </c>
      <c r="P44" s="19" t="n">
        <f aca="false">P36*(1-$C$29)+P36*$C$29*$C$30</f>
        <v>5</v>
      </c>
      <c r="Q44" s="19" t="n">
        <f aca="false">Q36*(1-$C$29)+Q36*$C$29*$C$30</f>
        <v>5</v>
      </c>
      <c r="R44" s="19" t="n">
        <f aca="false">R36*(1-$C$29)+R36*$C$29*$C$30</f>
        <v>5</v>
      </c>
      <c r="S44" s="19" t="n">
        <f aca="false">S36*(1-$C$29)+S36*$C$29*$C$30</f>
        <v>5</v>
      </c>
      <c r="T44" s="19" t="n">
        <f aca="false">T36*(1-$C$29)+T36*$C$29*$C$30</f>
        <v>5</v>
      </c>
      <c r="U44" s="19" t="n">
        <f aca="false">U36*(1-$C$29)+U36*$C$29*$C$30</f>
        <v>5</v>
      </c>
      <c r="V44" s="19" t="n">
        <f aca="false">V36*(1-$C$29)+V36*$C$29*$C$30</f>
        <v>5</v>
      </c>
      <c r="W44" s="19" t="n">
        <f aca="false">W36*(1-$C$29)+W36*$C$29*$C$30</f>
        <v>5</v>
      </c>
      <c r="X44" s="19" t="n">
        <f aca="false">X36*(1-$C$29)+X36*$C$29*$C$30</f>
        <v>5</v>
      </c>
      <c r="Y44" s="19" t="n">
        <f aca="false">Y36*(1-$C$29)+Y36*$C$29*$C$30</f>
        <v>5</v>
      </c>
      <c r="Z44" s="19" t="n">
        <f aca="false">Z36*(1-$C$29)+Z36*$C$29*$C$30</f>
        <v>5</v>
      </c>
      <c r="AA44" s="19" t="n">
        <f aca="false">AA36*(1-$C$29)+AA36*$C$29*$C$30</f>
        <v>5</v>
      </c>
      <c r="AB44" s="19" t="n">
        <f aca="false">AB36*(1-$C$29)+AB36*$C$29*$C$30</f>
        <v>5</v>
      </c>
      <c r="AC44" s="19" t="n">
        <f aca="false">AC36*(1-$C$29)+AC36*$C$29*$C$30</f>
        <v>5</v>
      </c>
    </row>
    <row r="45" customFormat="false" ht="15" hidden="false" customHeight="true" outlineLevel="0" collapsed="false">
      <c r="B45" s="6" t="s">
        <v>195</v>
      </c>
      <c r="C45" s="13" t="s">
        <v>50</v>
      </c>
      <c r="F45" s="20" t="n">
        <f aca="false">F37*(1-$C$27)+$C$27*$C$28</f>
        <v>3900</v>
      </c>
      <c r="G45" s="20" t="n">
        <f aca="false">G37*(1-$C$27)+$C$27*$C$28</f>
        <v>3600</v>
      </c>
      <c r="H45" s="20" t="n">
        <f aca="false">H37*(1-$C$27)+$C$27*$C$28</f>
        <v>3300</v>
      </c>
      <c r="I45" s="20" t="n">
        <f aca="false">I37*(1-$C$27)+$C$27*$C$28</f>
        <v>3300</v>
      </c>
      <c r="J45" s="20" t="n">
        <f aca="false">J37*(1-$C$27)+$C$27*$C$28</f>
        <v>3300</v>
      </c>
      <c r="K45" s="20" t="n">
        <f aca="false">K37*(1-$C$27)+$C$27*$C$28</f>
        <v>3300</v>
      </c>
      <c r="L45" s="20" t="n">
        <f aca="false">L37*(1-$C$27)+$C$27*$C$28</f>
        <v>3300</v>
      </c>
      <c r="M45" s="20" t="n">
        <f aca="false">M37*(1-$C$27)+$C$27*$C$28</f>
        <v>3300</v>
      </c>
      <c r="N45" s="20" t="n">
        <f aca="false">N37*(1-$C$27)+$C$27*$C$28</f>
        <v>3300</v>
      </c>
      <c r="O45" s="20" t="n">
        <f aca="false">O37*(1-$C$27)+$C$27*$C$28</f>
        <v>3300</v>
      </c>
      <c r="P45" s="20" t="n">
        <f aca="false">P37*(1-$C$27)+$C$27*$C$28</f>
        <v>3300</v>
      </c>
      <c r="Q45" s="20" t="n">
        <f aca="false">Q37*(1-$C$27)+$C$27*$C$28</f>
        <v>3300</v>
      </c>
      <c r="R45" s="20" t="n">
        <f aca="false">R37*(1-$C$27)+$C$27*$C$28</f>
        <v>3300</v>
      </c>
      <c r="S45" s="20" t="n">
        <f aca="false">S37*(1-$C$27)+$C$27*$C$28</f>
        <v>3300</v>
      </c>
      <c r="T45" s="20" t="n">
        <f aca="false">T37*(1-$C$27)+$C$27*$C$28</f>
        <v>3300</v>
      </c>
      <c r="U45" s="20" t="n">
        <f aca="false">U37*(1-$C$27)+$C$27*$C$28</f>
        <v>3300</v>
      </c>
      <c r="V45" s="20" t="n">
        <f aca="false">V37*(1-$C$27)+$C$27*$C$28</f>
        <v>3300</v>
      </c>
      <c r="W45" s="20" t="n">
        <f aca="false">W37*(1-$C$27)+$C$27*$C$28</f>
        <v>3300</v>
      </c>
      <c r="X45" s="20" t="n">
        <f aca="false">X37*(1-$C$27)+$C$27*$C$28</f>
        <v>3300</v>
      </c>
      <c r="Y45" s="20" t="n">
        <f aca="false">Y37*(1-$C$27)+$C$27*$C$28</f>
        <v>3300</v>
      </c>
      <c r="Z45" s="20" t="n">
        <f aca="false">Z37*(1-$C$27)+$C$27*$C$28</f>
        <v>3300</v>
      </c>
      <c r="AA45" s="20" t="n">
        <f aca="false">AA37*(1-$C$27)+$C$27*$C$28</f>
        <v>3300</v>
      </c>
      <c r="AB45" s="20" t="n">
        <f aca="false">AB37*(1-$C$27)+$C$27*$C$28</f>
        <v>3300</v>
      </c>
      <c r="AC45" s="20" t="n">
        <f aca="false">AC37*(1-$C$27)+$C$27*$C$28</f>
        <v>3300</v>
      </c>
    </row>
    <row r="46" customFormat="false" ht="15" hidden="false" customHeight="true" outlineLevel="0" collapsed="false">
      <c r="B46" s="6" t="s">
        <v>196</v>
      </c>
      <c r="C46" s="13" t="s">
        <v>165</v>
      </c>
      <c r="D46" s="30" t="n">
        <f aca="false">SUM(F46:AC46)</f>
        <v>6100.69304934239</v>
      </c>
      <c r="F46" s="30" t="n">
        <f aca="false">F42*F44</f>
        <v>436.64251993362</v>
      </c>
      <c r="G46" s="30" t="n">
        <f aca="false">G42*G44</f>
        <v>400.255643272485</v>
      </c>
      <c r="H46" s="30" t="n">
        <f aca="false">H42*H44</f>
        <v>363.86876661135</v>
      </c>
      <c r="I46" s="30" t="n">
        <f aca="false">I42*I44</f>
        <v>363.86876661135</v>
      </c>
      <c r="J46" s="30" t="n">
        <f aca="false">J42*J44</f>
        <v>363.86876661135</v>
      </c>
      <c r="K46" s="30" t="n">
        <f aca="false">K42*K44</f>
        <v>363.86876661135</v>
      </c>
      <c r="L46" s="30" t="n">
        <f aca="false">L42*L44</f>
        <v>363.86876661135</v>
      </c>
      <c r="M46" s="30" t="n">
        <f aca="false">M42*M44</f>
        <v>363.86876661135</v>
      </c>
      <c r="N46" s="30" t="n">
        <f aca="false">N42*N44</f>
        <v>363.86876661135</v>
      </c>
      <c r="O46" s="30" t="n">
        <f aca="false">O42*O44</f>
        <v>363.86876661135</v>
      </c>
      <c r="P46" s="30" t="n">
        <f aca="false">P42*P44</f>
        <v>363.86876661135</v>
      </c>
      <c r="Q46" s="30" t="n">
        <f aca="false">Q42*Q44</f>
        <v>363.86876661135</v>
      </c>
      <c r="R46" s="30" t="n">
        <f aca="false">R42*R44</f>
        <v>363.86876661135</v>
      </c>
      <c r="S46" s="30" t="n">
        <f aca="false">S42*S44</f>
        <v>363.86876661135</v>
      </c>
      <c r="T46" s="30" t="n">
        <f aca="false">T42*T44</f>
        <v>363.86876661135</v>
      </c>
      <c r="U46" s="30" t="n">
        <f aca="false">U42*U44</f>
        <v>363.86876661135</v>
      </c>
      <c r="V46" s="30" t="n">
        <f aca="false">V42*V44</f>
        <v>169.632153577385</v>
      </c>
      <c r="W46" s="30" t="n">
        <f aca="false">W42*W44</f>
        <v>0</v>
      </c>
      <c r="X46" s="30" t="n">
        <f aca="false">X42*X44</f>
        <v>0</v>
      </c>
      <c r="Y46" s="30" t="n">
        <f aca="false">Y42*Y44</f>
        <v>0</v>
      </c>
      <c r="Z46" s="30" t="n">
        <f aca="false">Z42*Z44</f>
        <v>0</v>
      </c>
      <c r="AA46" s="30" t="n">
        <f aca="false">AA42*AA44</f>
        <v>0</v>
      </c>
      <c r="AB46" s="30" t="n">
        <f aca="false">AB42*AB44</f>
        <v>0</v>
      </c>
      <c r="AC46" s="30" t="n">
        <f aca="false">AC42*AC44</f>
        <v>0</v>
      </c>
    </row>
    <row r="47" customFormat="false" ht="15" hidden="false" customHeight="true" outlineLevel="0" collapsed="false">
      <c r="B47" s="6" t="s">
        <v>197</v>
      </c>
      <c r="C47" s="13" t="s">
        <v>165</v>
      </c>
      <c r="D47" s="30" t="n">
        <f aca="false">SUM(F47:AC47)</f>
        <v>0</v>
      </c>
      <c r="F47" s="30" t="n">
        <f aca="false">F43*F45/1000</f>
        <v>0</v>
      </c>
      <c r="G47" s="30" t="n">
        <f aca="false">G43*G45/1000</f>
        <v>0</v>
      </c>
      <c r="H47" s="30" t="n">
        <f aca="false">H43*H45/1000</f>
        <v>0</v>
      </c>
      <c r="I47" s="30" t="n">
        <f aca="false">I43*I45/1000</f>
        <v>0</v>
      </c>
      <c r="J47" s="30" t="n">
        <f aca="false">J43*J45/1000</f>
        <v>0</v>
      </c>
      <c r="K47" s="30" t="n">
        <f aca="false">K43*K45/1000</f>
        <v>0</v>
      </c>
      <c r="L47" s="30" t="n">
        <f aca="false">L43*L45/1000</f>
        <v>0</v>
      </c>
      <c r="M47" s="30" t="n">
        <f aca="false">M43*M45/1000</f>
        <v>0</v>
      </c>
      <c r="N47" s="30" t="n">
        <f aca="false">N43*N45/1000</f>
        <v>0</v>
      </c>
      <c r="O47" s="30" t="n">
        <f aca="false">O43*O45/1000</f>
        <v>0</v>
      </c>
      <c r="P47" s="30" t="n">
        <f aca="false">P43*P45/1000</f>
        <v>0</v>
      </c>
      <c r="Q47" s="30" t="n">
        <f aca="false">Q43*Q45/1000</f>
        <v>0</v>
      </c>
      <c r="R47" s="30" t="n">
        <f aca="false">R43*R45/1000</f>
        <v>0</v>
      </c>
      <c r="S47" s="30" t="n">
        <f aca="false">S43*S45/1000</f>
        <v>0</v>
      </c>
      <c r="T47" s="30" t="n">
        <f aca="false">T43*T45/1000</f>
        <v>0</v>
      </c>
      <c r="U47" s="30" t="n">
        <f aca="false">U43*U45/1000</f>
        <v>0</v>
      </c>
      <c r="V47" s="30" t="n">
        <f aca="false">V43*V45/1000</f>
        <v>0</v>
      </c>
      <c r="W47" s="30" t="n">
        <f aca="false">W43*W45/1000</f>
        <v>0</v>
      </c>
      <c r="X47" s="30" t="n">
        <f aca="false">X43*X45/1000</f>
        <v>0</v>
      </c>
      <c r="Y47" s="30" t="n">
        <f aca="false">Y43*Y45/1000</f>
        <v>0</v>
      </c>
      <c r="Z47" s="30" t="n">
        <f aca="false">Z43*Z45/1000</f>
        <v>0</v>
      </c>
      <c r="AA47" s="30" t="n">
        <f aca="false">AA43*AA45/1000</f>
        <v>0</v>
      </c>
      <c r="AB47" s="30" t="n">
        <f aca="false">AB43*AB45/1000</f>
        <v>0</v>
      </c>
      <c r="AC47" s="30" t="n">
        <f aca="false">AC43*AC45/1000</f>
        <v>0</v>
      </c>
    </row>
    <row r="48" customFormat="false" ht="15" hidden="false" customHeight="true" outlineLevel="0" collapsed="false">
      <c r="B48" s="5" t="s">
        <v>198</v>
      </c>
      <c r="C48" s="13" t="s">
        <v>165</v>
      </c>
      <c r="D48" s="31" t="n">
        <f aca="false">SUM(F48:AC48)</f>
        <v>6100.69304934239</v>
      </c>
      <c r="F48" s="32" t="n">
        <f aca="false">F46+F47</f>
        <v>436.64251993362</v>
      </c>
      <c r="G48" s="32" t="n">
        <f aca="false">G46+G47</f>
        <v>400.255643272485</v>
      </c>
      <c r="H48" s="32" t="n">
        <f aca="false">H46+H47</f>
        <v>363.86876661135</v>
      </c>
      <c r="I48" s="32" t="n">
        <f aca="false">I46+I47</f>
        <v>363.86876661135</v>
      </c>
      <c r="J48" s="32" t="n">
        <f aca="false">J46+J47</f>
        <v>363.86876661135</v>
      </c>
      <c r="K48" s="32" t="n">
        <f aca="false">K46+K47</f>
        <v>363.86876661135</v>
      </c>
      <c r="L48" s="32" t="n">
        <f aca="false">L46+L47</f>
        <v>363.86876661135</v>
      </c>
      <c r="M48" s="32" t="n">
        <f aca="false">M46+M47</f>
        <v>363.86876661135</v>
      </c>
      <c r="N48" s="32" t="n">
        <f aca="false">N46+N47</f>
        <v>363.86876661135</v>
      </c>
      <c r="O48" s="32" t="n">
        <f aca="false">O46+O47</f>
        <v>363.86876661135</v>
      </c>
      <c r="P48" s="32" t="n">
        <f aca="false">P46+P47</f>
        <v>363.86876661135</v>
      </c>
      <c r="Q48" s="32" t="n">
        <f aca="false">Q46+Q47</f>
        <v>363.86876661135</v>
      </c>
      <c r="R48" s="32" t="n">
        <f aca="false">R46+R47</f>
        <v>363.86876661135</v>
      </c>
      <c r="S48" s="32" t="n">
        <f aca="false">S46+S47</f>
        <v>363.86876661135</v>
      </c>
      <c r="T48" s="32" t="n">
        <f aca="false">T46+T47</f>
        <v>363.86876661135</v>
      </c>
      <c r="U48" s="32" t="n">
        <f aca="false">U46+U47</f>
        <v>363.86876661135</v>
      </c>
      <c r="V48" s="32" t="n">
        <f aca="false">V46+V47</f>
        <v>169.632153577385</v>
      </c>
      <c r="W48" s="32" t="n">
        <f aca="false">W46+W47</f>
        <v>0</v>
      </c>
      <c r="X48" s="32" t="n">
        <f aca="false">X46+X47</f>
        <v>0</v>
      </c>
      <c r="Y48" s="32" t="n">
        <f aca="false">Y46+Y47</f>
        <v>0</v>
      </c>
      <c r="Z48" s="32" t="n">
        <f aca="false">Z46+Z47</f>
        <v>0</v>
      </c>
      <c r="AA48" s="32" t="n">
        <f aca="false">AA46+AA47</f>
        <v>0</v>
      </c>
      <c r="AB48" s="32" t="n">
        <f aca="false">AB46+AB47</f>
        <v>0</v>
      </c>
      <c r="AC48" s="32" t="n">
        <f aca="false">AC46+AC47</f>
        <v>0</v>
      </c>
    </row>
    <row r="49" customFormat="false" ht="15" hidden="false" customHeight="true" outlineLevel="0" collapsed="false">
      <c r="B49" s="6" t="s">
        <v>160</v>
      </c>
      <c r="C49" s="13" t="s">
        <v>165</v>
      </c>
      <c r="D49" s="30" t="n">
        <f aca="false">SUM(F49:AC49)</f>
        <v>-419.407269355129</v>
      </c>
      <c r="F49" s="30" t="n">
        <f aca="false">-F42*$C$19</f>
        <v>-25.4708136627945</v>
      </c>
      <c r="G49" s="30" t="n">
        <f aca="false">-G42*$C$19</f>
        <v>-25.4708136627945</v>
      </c>
      <c r="H49" s="30" t="n">
        <f aca="false">-H42*$C$19</f>
        <v>-25.4708136627945</v>
      </c>
      <c r="I49" s="30" t="n">
        <f aca="false">-I42*$C$19</f>
        <v>-25.4708136627945</v>
      </c>
      <c r="J49" s="30" t="n">
        <f aca="false">-J42*$C$19</f>
        <v>-25.4708136627945</v>
      </c>
      <c r="K49" s="30" t="n">
        <f aca="false">-K42*$C$19</f>
        <v>-25.4708136627945</v>
      </c>
      <c r="L49" s="30" t="n">
        <f aca="false">-L42*$C$19</f>
        <v>-25.4708136627945</v>
      </c>
      <c r="M49" s="30" t="n">
        <f aca="false">-M42*$C$19</f>
        <v>-25.4708136627945</v>
      </c>
      <c r="N49" s="30" t="n">
        <f aca="false">-N42*$C$19</f>
        <v>-25.4708136627945</v>
      </c>
      <c r="O49" s="30" t="n">
        <f aca="false">-O42*$C$19</f>
        <v>-25.4708136627945</v>
      </c>
      <c r="P49" s="30" t="n">
        <f aca="false">-P42*$C$19</f>
        <v>-25.4708136627945</v>
      </c>
      <c r="Q49" s="30" t="n">
        <f aca="false">-Q42*$C$19</f>
        <v>-25.4708136627945</v>
      </c>
      <c r="R49" s="30" t="n">
        <f aca="false">-R42*$C$19</f>
        <v>-25.4708136627945</v>
      </c>
      <c r="S49" s="30" t="n">
        <f aca="false">-S42*$C$19</f>
        <v>-25.4708136627945</v>
      </c>
      <c r="T49" s="30" t="n">
        <f aca="false">-T42*$C$19</f>
        <v>-25.4708136627945</v>
      </c>
      <c r="U49" s="30" t="n">
        <f aca="false">-U42*$C$19</f>
        <v>-25.4708136627945</v>
      </c>
      <c r="V49" s="30" t="n">
        <f aca="false">-V42*$C$19</f>
        <v>-11.8742507504169</v>
      </c>
      <c r="W49" s="30" t="n">
        <f aca="false">-W42*$C$19</f>
        <v>-0</v>
      </c>
      <c r="X49" s="30" t="n">
        <f aca="false">-X42*$C$19</f>
        <v>-0</v>
      </c>
      <c r="Y49" s="30" t="n">
        <f aca="false">-Y42*$C$19</f>
        <v>-0</v>
      </c>
      <c r="Z49" s="30" t="n">
        <f aca="false">-Z42*$C$19</f>
        <v>-0</v>
      </c>
      <c r="AA49" s="30" t="n">
        <f aca="false">-AA42*$C$19</f>
        <v>-0</v>
      </c>
      <c r="AB49" s="30" t="n">
        <f aca="false">-AB42*$C$19</f>
        <v>-0</v>
      </c>
      <c r="AC49" s="30" t="n">
        <f aca="false">-AC42*$C$19</f>
        <v>-0</v>
      </c>
    </row>
    <row r="50" customFormat="false" ht="15" hidden="false" customHeight="true" outlineLevel="0" collapsed="false">
      <c r="B50" s="6" t="s">
        <v>199</v>
      </c>
      <c r="C50" s="13" t="s">
        <v>165</v>
      </c>
      <c r="D50" s="30" t="n">
        <f aca="false">SUM(F50:AC50)</f>
        <v>-122.013860986848</v>
      </c>
      <c r="F50" s="30" t="n">
        <f aca="false">-F48*$C$25</f>
        <v>-8.7328503986724</v>
      </c>
      <c r="G50" s="30" t="n">
        <f aca="false">-G48*$C$25</f>
        <v>-8.0051128654497</v>
      </c>
      <c r="H50" s="30" t="n">
        <f aca="false">-H48*$C$25</f>
        <v>-7.277375332227</v>
      </c>
      <c r="I50" s="30" t="n">
        <f aca="false">-I48*$C$25</f>
        <v>-7.277375332227</v>
      </c>
      <c r="J50" s="30" t="n">
        <f aca="false">-J48*$C$25</f>
        <v>-7.277375332227</v>
      </c>
      <c r="K50" s="30" t="n">
        <f aca="false">-K48*$C$25</f>
        <v>-7.277375332227</v>
      </c>
      <c r="L50" s="30" t="n">
        <f aca="false">-L48*$C$25</f>
        <v>-7.277375332227</v>
      </c>
      <c r="M50" s="30" t="n">
        <f aca="false">-M48*$C$25</f>
        <v>-7.277375332227</v>
      </c>
      <c r="N50" s="30" t="n">
        <f aca="false">-N48*$C$25</f>
        <v>-7.277375332227</v>
      </c>
      <c r="O50" s="30" t="n">
        <f aca="false">-O48*$C$25</f>
        <v>-7.277375332227</v>
      </c>
      <c r="P50" s="30" t="n">
        <f aca="false">-P48*$C$25</f>
        <v>-7.277375332227</v>
      </c>
      <c r="Q50" s="30" t="n">
        <f aca="false">-Q48*$C$25</f>
        <v>-7.277375332227</v>
      </c>
      <c r="R50" s="30" t="n">
        <f aca="false">-R48*$C$25</f>
        <v>-7.277375332227</v>
      </c>
      <c r="S50" s="30" t="n">
        <f aca="false">-S48*$C$25</f>
        <v>-7.277375332227</v>
      </c>
      <c r="T50" s="30" t="n">
        <f aca="false">-T48*$C$25</f>
        <v>-7.277375332227</v>
      </c>
      <c r="U50" s="30" t="n">
        <f aca="false">-U48*$C$25</f>
        <v>-7.277375332227</v>
      </c>
      <c r="V50" s="30" t="n">
        <f aca="false">-V48*$C$25</f>
        <v>-3.3926430715477</v>
      </c>
      <c r="W50" s="30" t="n">
        <f aca="false">-W48*$C$25</f>
        <v>-0</v>
      </c>
      <c r="X50" s="30" t="n">
        <f aca="false">-X48*$C$25</f>
        <v>-0</v>
      </c>
      <c r="Y50" s="30" t="n">
        <f aca="false">-Y48*$C$25</f>
        <v>-0</v>
      </c>
      <c r="Z50" s="30" t="n">
        <f aca="false">-Z48*$C$25</f>
        <v>-0</v>
      </c>
      <c r="AA50" s="30" t="n">
        <f aca="false">-AA48*$C$25</f>
        <v>-0</v>
      </c>
      <c r="AB50" s="30" t="n">
        <f aca="false">-AB48*$C$25</f>
        <v>-0</v>
      </c>
      <c r="AC50" s="30" t="n">
        <f aca="false">-AC48*$C$25</f>
        <v>-0</v>
      </c>
    </row>
    <row r="51" customFormat="false" ht="15" hidden="false" customHeight="true" outlineLevel="0" collapsed="false">
      <c r="B51" s="6" t="s">
        <v>200</v>
      </c>
      <c r="C51" s="13" t="s">
        <v>165</v>
      </c>
      <c r="D51" s="30" t="n">
        <f aca="false">SUM(F51:AC51)</f>
        <v>-2558.846</v>
      </c>
      <c r="F51" s="30" t="n">
        <f aca="false">-F40*$C$18</f>
        <v>-155.4</v>
      </c>
      <c r="G51" s="30" t="n">
        <f aca="false">-G40*$C$18</f>
        <v>-155.4</v>
      </c>
      <c r="H51" s="30" t="n">
        <f aca="false">-H40*$C$18</f>
        <v>-155.4</v>
      </c>
      <c r="I51" s="30" t="n">
        <f aca="false">-I40*$C$18</f>
        <v>-155.4</v>
      </c>
      <c r="J51" s="30" t="n">
        <f aca="false">-J40*$C$18</f>
        <v>-155.4</v>
      </c>
      <c r="K51" s="30" t="n">
        <f aca="false">-K40*$C$18</f>
        <v>-155.4</v>
      </c>
      <c r="L51" s="30" t="n">
        <f aca="false">-L40*$C$18</f>
        <v>-155.4</v>
      </c>
      <c r="M51" s="30" t="n">
        <f aca="false">-M40*$C$18</f>
        <v>-155.4</v>
      </c>
      <c r="N51" s="30" t="n">
        <f aca="false">-N40*$C$18</f>
        <v>-155.4</v>
      </c>
      <c r="O51" s="30" t="n">
        <f aca="false">-O40*$C$18</f>
        <v>-155.4</v>
      </c>
      <c r="P51" s="30" t="n">
        <f aca="false">-P40*$C$18</f>
        <v>-155.4</v>
      </c>
      <c r="Q51" s="30" t="n">
        <f aca="false">-Q40*$C$18</f>
        <v>-155.4</v>
      </c>
      <c r="R51" s="30" t="n">
        <f aca="false">-R40*$C$18</f>
        <v>-155.4</v>
      </c>
      <c r="S51" s="30" t="n">
        <f aca="false">-S40*$C$18</f>
        <v>-155.4</v>
      </c>
      <c r="T51" s="30" t="n">
        <f aca="false">-T40*$C$18</f>
        <v>-155.4</v>
      </c>
      <c r="U51" s="30" t="n">
        <f aca="false">-U40*$C$18</f>
        <v>-155.4</v>
      </c>
      <c r="V51" s="30" t="n">
        <f aca="false">-V40*$C$18</f>
        <v>-72.4459999999993</v>
      </c>
      <c r="W51" s="30" t="n">
        <f aca="false">-W40*$C$18</f>
        <v>-0</v>
      </c>
      <c r="X51" s="30" t="n">
        <f aca="false">-X40*$C$18</f>
        <v>-0</v>
      </c>
      <c r="Y51" s="30" t="n">
        <f aca="false">-Y40*$C$18</f>
        <v>-0</v>
      </c>
      <c r="Z51" s="30" t="n">
        <f aca="false">-Z40*$C$18</f>
        <v>-0</v>
      </c>
      <c r="AA51" s="30" t="n">
        <f aca="false">-AA40*$C$18</f>
        <v>-0</v>
      </c>
      <c r="AB51" s="30" t="n">
        <f aca="false">-AB40*$C$18</f>
        <v>-0</v>
      </c>
      <c r="AC51" s="30" t="n">
        <f aca="false">-AC40*$C$18</f>
        <v>-0</v>
      </c>
    </row>
    <row r="52" customFormat="false" ht="15" hidden="false" customHeight="true" outlineLevel="0" collapsed="false">
      <c r="B52" s="5" t="s">
        <v>201</v>
      </c>
      <c r="C52" s="13" t="s">
        <v>165</v>
      </c>
      <c r="D52" s="31" t="n">
        <f aca="false">SUM(F52:AC52)</f>
        <v>3000.42591900041</v>
      </c>
      <c r="F52" s="32" t="n">
        <f aca="false">SUM(F48:F51)</f>
        <v>247.038855872153</v>
      </c>
      <c r="G52" s="32" t="n">
        <f aca="false">SUM(G48:G51)</f>
        <v>211.379716744241</v>
      </c>
      <c r="H52" s="32" t="n">
        <f aca="false">SUM(H48:H51)</f>
        <v>175.720577616328</v>
      </c>
      <c r="I52" s="32" t="n">
        <f aca="false">SUM(I48:I51)</f>
        <v>175.720577616328</v>
      </c>
      <c r="J52" s="32" t="n">
        <f aca="false">SUM(J48:J51)</f>
        <v>175.720577616328</v>
      </c>
      <c r="K52" s="32" t="n">
        <f aca="false">SUM(K48:K51)</f>
        <v>175.720577616328</v>
      </c>
      <c r="L52" s="32" t="n">
        <f aca="false">SUM(L48:L51)</f>
        <v>175.720577616328</v>
      </c>
      <c r="M52" s="32" t="n">
        <f aca="false">SUM(M48:M51)</f>
        <v>175.720577616328</v>
      </c>
      <c r="N52" s="32" t="n">
        <f aca="false">SUM(N48:N51)</f>
        <v>175.720577616328</v>
      </c>
      <c r="O52" s="32" t="n">
        <f aca="false">SUM(O48:O51)</f>
        <v>175.720577616328</v>
      </c>
      <c r="P52" s="32" t="n">
        <f aca="false">SUM(P48:P51)</f>
        <v>175.720577616328</v>
      </c>
      <c r="Q52" s="32" t="n">
        <f aca="false">SUM(Q48:Q51)</f>
        <v>175.720577616328</v>
      </c>
      <c r="R52" s="32" t="n">
        <f aca="false">SUM(R48:R51)</f>
        <v>175.720577616328</v>
      </c>
      <c r="S52" s="32" t="n">
        <f aca="false">SUM(S48:S51)</f>
        <v>175.720577616328</v>
      </c>
      <c r="T52" s="32" t="n">
        <f aca="false">SUM(T48:T51)</f>
        <v>175.720577616328</v>
      </c>
      <c r="U52" s="32" t="n">
        <f aca="false">SUM(U48:U51)</f>
        <v>175.720577616328</v>
      </c>
      <c r="V52" s="32" t="n">
        <f aca="false">SUM(V48:V51)</f>
        <v>81.919259755421</v>
      </c>
      <c r="W52" s="32" t="n">
        <f aca="false">SUM(W48:W51)</f>
        <v>0</v>
      </c>
      <c r="X52" s="32" t="n">
        <f aca="false">SUM(X48:X51)</f>
        <v>0</v>
      </c>
      <c r="Y52" s="32" t="n">
        <f aca="false">SUM(Y48:Y51)</f>
        <v>0</v>
      </c>
      <c r="Z52" s="32" t="n">
        <f aca="false">SUM(Z48:Z51)</f>
        <v>0</v>
      </c>
      <c r="AA52" s="32" t="n">
        <f aca="false">SUM(AA48:AA51)</f>
        <v>0</v>
      </c>
      <c r="AB52" s="32" t="n">
        <f aca="false">SUM(AB48:AB51)</f>
        <v>0</v>
      </c>
      <c r="AC52" s="32" t="n">
        <f aca="false">SUM(AC48:AC51)</f>
        <v>0</v>
      </c>
    </row>
    <row r="53" customFormat="false" ht="15" hidden="false" customHeight="true" outlineLevel="0" collapsed="false">
      <c r="B53" s="6" t="s">
        <v>162</v>
      </c>
      <c r="C53" s="13" t="s">
        <v>165</v>
      </c>
      <c r="D53" s="30" t="n">
        <f aca="false">SUM(F53:AC53)</f>
        <v>-935</v>
      </c>
      <c r="F53" s="30" t="n">
        <f aca="false">-IF(F40&gt;0,$C$20,0)</f>
        <v>-55</v>
      </c>
      <c r="G53" s="30" t="n">
        <f aca="false">-IF(G40&gt;0,$C$20,0)</f>
        <v>-55</v>
      </c>
      <c r="H53" s="30" t="n">
        <f aca="false">-IF(H40&gt;0,$C$20,0)</f>
        <v>-55</v>
      </c>
      <c r="I53" s="30" t="n">
        <f aca="false">-IF(I40&gt;0,$C$20,0)</f>
        <v>-55</v>
      </c>
      <c r="J53" s="30" t="n">
        <f aca="false">-IF(J40&gt;0,$C$20,0)</f>
        <v>-55</v>
      </c>
      <c r="K53" s="30" t="n">
        <f aca="false">-IF(K40&gt;0,$C$20,0)</f>
        <v>-55</v>
      </c>
      <c r="L53" s="30" t="n">
        <f aca="false">-IF(L40&gt;0,$C$20,0)</f>
        <v>-55</v>
      </c>
      <c r="M53" s="30" t="n">
        <f aca="false">-IF(M40&gt;0,$C$20,0)</f>
        <v>-55</v>
      </c>
      <c r="N53" s="30" t="n">
        <f aca="false">-IF(N40&gt;0,$C$20,0)</f>
        <v>-55</v>
      </c>
      <c r="O53" s="30" t="n">
        <f aca="false">-IF(O40&gt;0,$C$20,0)</f>
        <v>-55</v>
      </c>
      <c r="P53" s="30" t="n">
        <f aca="false">-IF(P40&gt;0,$C$20,0)</f>
        <v>-55</v>
      </c>
      <c r="Q53" s="30" t="n">
        <f aca="false">-IF(Q40&gt;0,$C$20,0)</f>
        <v>-55</v>
      </c>
      <c r="R53" s="30" t="n">
        <f aca="false">-IF(R40&gt;0,$C$20,0)</f>
        <v>-55</v>
      </c>
      <c r="S53" s="30" t="n">
        <f aca="false">-IF(S40&gt;0,$C$20,0)</f>
        <v>-55</v>
      </c>
      <c r="T53" s="30" t="n">
        <f aca="false">-IF(T40&gt;0,$C$20,0)</f>
        <v>-55</v>
      </c>
      <c r="U53" s="30" t="n">
        <f aca="false">-IF(U40&gt;0,$C$20,0)</f>
        <v>-55</v>
      </c>
      <c r="V53" s="30" t="n">
        <f aca="false">-IF(V40&gt;0,$C$20,0)</f>
        <v>-55</v>
      </c>
      <c r="W53" s="30" t="n">
        <f aca="false">-IF(W40&gt;0,$C$20,0)</f>
        <v>-0</v>
      </c>
      <c r="X53" s="30" t="n">
        <f aca="false">-IF(X40&gt;0,$C$20,0)</f>
        <v>-0</v>
      </c>
      <c r="Y53" s="30" t="n">
        <f aca="false">-IF(Y40&gt;0,$C$20,0)</f>
        <v>-0</v>
      </c>
      <c r="Z53" s="30" t="n">
        <f aca="false">-IF(Z40&gt;0,$C$20,0)</f>
        <v>-0</v>
      </c>
      <c r="AA53" s="30" t="n">
        <f aca="false">-IF(AA40&gt;0,$C$20,0)</f>
        <v>-0</v>
      </c>
      <c r="AB53" s="30" t="n">
        <f aca="false">-IF(AB40&gt;0,$C$20,0)</f>
        <v>-0</v>
      </c>
      <c r="AC53" s="30" t="n">
        <f aca="false">-IF(AC40&gt;0,$C$20,0)</f>
        <v>-0</v>
      </c>
    </row>
    <row r="54" customFormat="false" ht="15" hidden="false" customHeight="true" outlineLevel="0" collapsed="false">
      <c r="B54" s="6" t="s">
        <v>202</v>
      </c>
      <c r="C54" s="13" t="s">
        <v>165</v>
      </c>
      <c r="D54" s="30" t="n">
        <f aca="false">SUM(F54:AC54)</f>
        <v>-60</v>
      </c>
      <c r="F54" s="30" t="n">
        <f aca="false">-IF(AND(F$34&gt;=$C$22,F$34&lt;$C$22+$C$23),$C$21/$C$23,0)</f>
        <v>-60</v>
      </c>
      <c r="G54" s="30" t="n">
        <f aca="false">-IF(AND(G$34&gt;=$C$22,G$34&lt;$C$22+$C$23),$C$21/$C$23,0)</f>
        <v>-0</v>
      </c>
      <c r="H54" s="30" t="n">
        <f aca="false">-IF(AND(H$34&gt;=$C$22,H$34&lt;$C$22+$C$23),$C$21/$C$23,0)</f>
        <v>-0</v>
      </c>
      <c r="I54" s="30" t="n">
        <f aca="false">-IF(AND(I$34&gt;=$C$22,I$34&lt;$C$22+$C$23),$C$21/$C$23,0)</f>
        <v>-0</v>
      </c>
      <c r="J54" s="30" t="n">
        <f aca="false">-IF(AND(J$34&gt;=$C$22,J$34&lt;$C$22+$C$23),$C$21/$C$23,0)</f>
        <v>-0</v>
      </c>
      <c r="K54" s="30" t="n">
        <f aca="false">-IF(AND(K$34&gt;=$C$22,K$34&lt;$C$22+$C$23),$C$21/$C$23,0)</f>
        <v>-0</v>
      </c>
      <c r="L54" s="30" t="n">
        <f aca="false">-IF(AND(L$34&gt;=$C$22,L$34&lt;$C$22+$C$23),$C$21/$C$23,0)</f>
        <v>-0</v>
      </c>
      <c r="M54" s="30" t="n">
        <f aca="false">-IF(AND(M$34&gt;=$C$22,M$34&lt;$C$22+$C$23),$C$21/$C$23,0)</f>
        <v>-0</v>
      </c>
      <c r="N54" s="30" t="n">
        <f aca="false">-IF(AND(N$34&gt;=$C$22,N$34&lt;$C$22+$C$23),$C$21/$C$23,0)</f>
        <v>-0</v>
      </c>
      <c r="O54" s="30" t="n">
        <f aca="false">-IF(AND(O$34&gt;=$C$22,O$34&lt;$C$22+$C$23),$C$21/$C$23,0)</f>
        <v>-0</v>
      </c>
      <c r="P54" s="30" t="n">
        <f aca="false">-IF(AND(P$34&gt;=$C$22,P$34&lt;$C$22+$C$23),$C$21/$C$23,0)</f>
        <v>-0</v>
      </c>
      <c r="Q54" s="30" t="n">
        <f aca="false">-IF(AND(Q$34&gt;=$C$22,Q$34&lt;$C$22+$C$23),$C$21/$C$23,0)</f>
        <v>-0</v>
      </c>
      <c r="R54" s="30" t="n">
        <f aca="false">-IF(AND(R$34&gt;=$C$22,R$34&lt;$C$22+$C$23),$C$21/$C$23,0)</f>
        <v>-0</v>
      </c>
      <c r="S54" s="30" t="n">
        <f aca="false">-IF(AND(S$34&gt;=$C$22,S$34&lt;$C$22+$C$23),$C$21/$C$23,0)</f>
        <v>-0</v>
      </c>
      <c r="T54" s="30" t="n">
        <f aca="false">-IF(AND(T$34&gt;=$C$22,T$34&lt;$C$22+$C$23),$C$21/$C$23,0)</f>
        <v>-0</v>
      </c>
      <c r="U54" s="30" t="n">
        <f aca="false">-IF(AND(U$34&gt;=$C$22,U$34&lt;$C$22+$C$23),$C$21/$C$23,0)</f>
        <v>-0</v>
      </c>
      <c r="V54" s="30" t="n">
        <f aca="false">-IF(AND(V$34&gt;=$C$22,V$34&lt;$C$22+$C$23),$C$21/$C$23,0)</f>
        <v>-0</v>
      </c>
      <c r="W54" s="30" t="n">
        <f aca="false">-IF(AND(W$34&gt;=$C$22,W$34&lt;$C$22+$C$23),$C$21/$C$23,0)</f>
        <v>-0</v>
      </c>
      <c r="X54" s="30" t="n">
        <f aca="false">-IF(AND(X$34&gt;=$C$22,X$34&lt;$C$22+$C$23),$C$21/$C$23,0)</f>
        <v>-0</v>
      </c>
      <c r="Y54" s="30" t="n">
        <f aca="false">-IF(AND(Y$34&gt;=$C$22,Y$34&lt;$C$22+$C$23),$C$21/$C$23,0)</f>
        <v>-0</v>
      </c>
      <c r="Z54" s="30" t="n">
        <f aca="false">-IF(AND(Z$34&gt;=$C$22,Z$34&lt;$C$22+$C$23),$C$21/$C$23,0)</f>
        <v>-0</v>
      </c>
      <c r="AA54" s="30" t="n">
        <f aca="false">-IF(AND(AA$34&gt;=$C$22,AA$34&lt;$C$22+$C$23),$C$21/$C$23,0)</f>
        <v>-0</v>
      </c>
      <c r="AB54" s="30" t="n">
        <f aca="false">-IF(AND(AB$34&gt;=$C$22,AB$34&lt;$C$22+$C$23),$C$21/$C$23,0)</f>
        <v>-0</v>
      </c>
      <c r="AC54" s="30" t="n">
        <f aca="false">-IF(AND(AC$34&gt;=$C$22,AC$34&lt;$C$22+$C$23),$C$21/$C$23,0)</f>
        <v>-0</v>
      </c>
    </row>
    <row r="55" customFormat="false" ht="15" hidden="false" customHeight="true" outlineLevel="0" collapsed="false">
      <c r="B55" s="6" t="s">
        <v>203</v>
      </c>
      <c r="C55" s="13" t="s">
        <v>165</v>
      </c>
      <c r="D55" s="30" t="n">
        <f aca="false">SUM(F55:AC55)</f>
        <v>-50</v>
      </c>
      <c r="F55" s="30" t="n">
        <f aca="false">0</f>
        <v>0</v>
      </c>
      <c r="G55" s="30" t="n">
        <f aca="false">-IF(AND(G40=0,F40&gt;0),$C$24,0)</f>
        <v>-0</v>
      </c>
      <c r="H55" s="30" t="n">
        <f aca="false">-IF(AND(H40=0,G40&gt;0),$C$24,0)</f>
        <v>-0</v>
      </c>
      <c r="I55" s="30" t="n">
        <f aca="false">-IF(AND(I40=0,H40&gt;0),$C$24,0)</f>
        <v>-0</v>
      </c>
      <c r="J55" s="30" t="n">
        <f aca="false">-IF(AND(J40=0,I40&gt;0),$C$24,0)</f>
        <v>-0</v>
      </c>
      <c r="K55" s="30" t="n">
        <f aca="false">-IF(AND(K40=0,J40&gt;0),$C$24,0)</f>
        <v>-0</v>
      </c>
      <c r="L55" s="30" t="n">
        <f aca="false">-IF(AND(L40=0,K40&gt;0),$C$24,0)</f>
        <v>-0</v>
      </c>
      <c r="M55" s="30" t="n">
        <f aca="false">-IF(AND(M40=0,L40&gt;0),$C$24,0)</f>
        <v>-0</v>
      </c>
      <c r="N55" s="30" t="n">
        <f aca="false">-IF(AND(N40=0,M40&gt;0),$C$24,0)</f>
        <v>-0</v>
      </c>
      <c r="O55" s="30" t="n">
        <f aca="false">-IF(AND(O40=0,N40&gt;0),$C$24,0)</f>
        <v>-0</v>
      </c>
      <c r="P55" s="30" t="n">
        <f aca="false">-IF(AND(P40=0,O40&gt;0),$C$24,0)</f>
        <v>-0</v>
      </c>
      <c r="Q55" s="30" t="n">
        <f aca="false">-IF(AND(Q40=0,P40&gt;0),$C$24,0)</f>
        <v>-0</v>
      </c>
      <c r="R55" s="30" t="n">
        <f aca="false">-IF(AND(R40=0,Q40&gt;0),$C$24,0)</f>
        <v>-0</v>
      </c>
      <c r="S55" s="30" t="n">
        <f aca="false">-IF(AND(S40=0,R40&gt;0),$C$24,0)</f>
        <v>-0</v>
      </c>
      <c r="T55" s="30" t="n">
        <f aca="false">-IF(AND(T40=0,S40&gt;0),$C$24,0)</f>
        <v>-0</v>
      </c>
      <c r="U55" s="30" t="n">
        <f aca="false">-IF(AND(U40=0,T40&gt;0),$C$24,0)</f>
        <v>-0</v>
      </c>
      <c r="V55" s="30" t="n">
        <f aca="false">-IF(AND(V40=0,U40&gt;0),$C$24,0)</f>
        <v>-0</v>
      </c>
      <c r="W55" s="30" t="n">
        <f aca="false">-IF(AND(W40=0,V40&gt;0),$C$24,0)</f>
        <v>-50</v>
      </c>
      <c r="X55" s="30" t="n">
        <f aca="false">-IF(AND(X40=0,W40&gt;0),$C$24,0)</f>
        <v>-0</v>
      </c>
      <c r="Y55" s="30" t="n">
        <f aca="false">-IF(AND(Y40=0,X40&gt;0),$C$24,0)</f>
        <v>-0</v>
      </c>
      <c r="Z55" s="30" t="n">
        <f aca="false">-IF(AND(Z40=0,Y40&gt;0),$C$24,0)</f>
        <v>-0</v>
      </c>
      <c r="AA55" s="30" t="n">
        <f aca="false">-IF(AND(AA40=0,Z40&gt;0),$C$24,0)</f>
        <v>-0</v>
      </c>
      <c r="AB55" s="30" t="n">
        <f aca="false">-IF(AND(AB40=0,AA40&gt;0),$C$24,0)</f>
        <v>-0</v>
      </c>
      <c r="AC55" s="30" t="n">
        <f aca="false">-IF(AND(AC40=0,AB40&gt;0),$C$24,0)</f>
        <v>-0</v>
      </c>
    </row>
    <row r="56" customFormat="false" ht="15" hidden="false" customHeight="true" outlineLevel="0" collapsed="false">
      <c r="B56" s="6" t="s">
        <v>204</v>
      </c>
      <c r="C56" s="13" t="s">
        <v>165</v>
      </c>
      <c r="D56" s="30" t="n">
        <f aca="false">SUM(F56:AC56)</f>
        <v>-305.827452647563</v>
      </c>
      <c r="F56" s="30" t="n">
        <f aca="false">-MAX(0,(F52+F53+F54)*$C$26)</f>
        <v>-20.1359255205033</v>
      </c>
      <c r="G56" s="30" t="n">
        <f aca="false">-MAX(0,(G52+G53+G54)*$C$26)</f>
        <v>-23.8479068034967</v>
      </c>
      <c r="H56" s="30" t="n">
        <f aca="false">-MAX(0,(H52+H53+H54)*$C$26)</f>
        <v>-18.4098880864901</v>
      </c>
      <c r="I56" s="30" t="n">
        <f aca="false">-MAX(0,(I52+I53+I54)*$C$26)</f>
        <v>-18.4098880864901</v>
      </c>
      <c r="J56" s="30" t="n">
        <f aca="false">-MAX(0,(J52+J53+J54)*$C$26)</f>
        <v>-18.4098880864901</v>
      </c>
      <c r="K56" s="30" t="n">
        <f aca="false">-MAX(0,(K52+K53+K54)*$C$26)</f>
        <v>-18.4098880864901</v>
      </c>
      <c r="L56" s="30" t="n">
        <f aca="false">-MAX(0,(L52+L53+L54)*$C$26)</f>
        <v>-18.4098880864901</v>
      </c>
      <c r="M56" s="30" t="n">
        <f aca="false">-MAX(0,(M52+M53+M54)*$C$26)</f>
        <v>-18.4098880864901</v>
      </c>
      <c r="N56" s="30" t="n">
        <f aca="false">-MAX(0,(N52+N53+N54)*$C$26)</f>
        <v>-18.4098880864901</v>
      </c>
      <c r="O56" s="30" t="n">
        <f aca="false">-MAX(0,(O52+O53+O54)*$C$26)</f>
        <v>-18.4098880864901</v>
      </c>
      <c r="P56" s="30" t="n">
        <f aca="false">-MAX(0,(P52+P53+P54)*$C$26)</f>
        <v>-18.4098880864901</v>
      </c>
      <c r="Q56" s="30" t="n">
        <f aca="false">-MAX(0,(Q52+Q53+Q54)*$C$26)</f>
        <v>-18.4098880864901</v>
      </c>
      <c r="R56" s="30" t="n">
        <f aca="false">-MAX(0,(R52+R53+R54)*$C$26)</f>
        <v>-18.4098880864901</v>
      </c>
      <c r="S56" s="30" t="n">
        <f aca="false">-MAX(0,(S52+S53+S54)*$C$26)</f>
        <v>-18.4098880864901</v>
      </c>
      <c r="T56" s="30" t="n">
        <f aca="false">-MAX(0,(T52+T53+T54)*$C$26)</f>
        <v>-18.4098880864901</v>
      </c>
      <c r="U56" s="30" t="n">
        <f aca="false">-MAX(0,(U52+U53+U54)*$C$26)</f>
        <v>-18.4098880864901</v>
      </c>
      <c r="V56" s="30" t="n">
        <f aca="false">-MAX(0,(V52+V53+V54)*$C$26)</f>
        <v>-4.1051871127017</v>
      </c>
      <c r="W56" s="30" t="n">
        <f aca="false">-MAX(0,(W52+W53+W54)*$C$26)</f>
        <v>-0</v>
      </c>
      <c r="X56" s="30" t="n">
        <f aca="false">-MAX(0,(X52+X53+X54)*$C$26)</f>
        <v>-0</v>
      </c>
      <c r="Y56" s="30" t="n">
        <f aca="false">-MAX(0,(Y52+Y53+Y54)*$C$26)</f>
        <v>-0</v>
      </c>
      <c r="Z56" s="30" t="n">
        <f aca="false">-MAX(0,(Z52+Z53+Z54)*$C$26)</f>
        <v>-0</v>
      </c>
      <c r="AA56" s="30" t="n">
        <f aca="false">-MAX(0,(AA52+AA53+AA54)*$C$26)</f>
        <v>-0</v>
      </c>
      <c r="AB56" s="30" t="n">
        <f aca="false">-MAX(0,(AB52+AB53+AB54)*$C$26)</f>
        <v>-0</v>
      </c>
      <c r="AC56" s="30" t="n">
        <f aca="false">-MAX(0,(AC52+AC53+AC54)*$C$26)</f>
        <v>-0</v>
      </c>
    </row>
    <row r="57" customFormat="false" ht="15" hidden="false" customHeight="true" outlineLevel="0" collapsed="false">
      <c r="B57" s="5" t="s">
        <v>205</v>
      </c>
      <c r="C57" s="13" t="s">
        <v>165</v>
      </c>
      <c r="D57" s="31" t="n">
        <f aca="false">SUM(F57:AC57)</f>
        <v>1649.59846635285</v>
      </c>
      <c r="F57" s="32" t="n">
        <f aca="false">SUM(F52:F56)</f>
        <v>111.90293035165</v>
      </c>
      <c r="G57" s="32" t="n">
        <f aca="false">SUM(G52:G56)</f>
        <v>132.531809940744</v>
      </c>
      <c r="H57" s="32" t="n">
        <f aca="false">SUM(H52:H56)</f>
        <v>102.310689529838</v>
      </c>
      <c r="I57" s="32" t="n">
        <f aca="false">SUM(I52:I56)</f>
        <v>102.310689529838</v>
      </c>
      <c r="J57" s="32" t="n">
        <f aca="false">SUM(J52:J56)</f>
        <v>102.310689529838</v>
      </c>
      <c r="K57" s="32" t="n">
        <f aca="false">SUM(K52:K56)</f>
        <v>102.310689529838</v>
      </c>
      <c r="L57" s="32" t="n">
        <f aca="false">SUM(L52:L56)</f>
        <v>102.310689529838</v>
      </c>
      <c r="M57" s="32" t="n">
        <f aca="false">SUM(M52:M56)</f>
        <v>102.310689529838</v>
      </c>
      <c r="N57" s="32" t="n">
        <f aca="false">SUM(N52:N56)</f>
        <v>102.310689529838</v>
      </c>
      <c r="O57" s="32" t="n">
        <f aca="false">SUM(O52:O56)</f>
        <v>102.310689529838</v>
      </c>
      <c r="P57" s="32" t="n">
        <f aca="false">SUM(P52:P56)</f>
        <v>102.310689529838</v>
      </c>
      <c r="Q57" s="32" t="n">
        <f aca="false">SUM(Q52:Q56)</f>
        <v>102.310689529838</v>
      </c>
      <c r="R57" s="32" t="n">
        <f aca="false">SUM(R52:R56)</f>
        <v>102.310689529838</v>
      </c>
      <c r="S57" s="32" t="n">
        <f aca="false">SUM(S52:S56)</f>
        <v>102.310689529838</v>
      </c>
      <c r="T57" s="32" t="n">
        <f aca="false">SUM(T52:T56)</f>
        <v>102.310689529838</v>
      </c>
      <c r="U57" s="32" t="n">
        <f aca="false">SUM(U52:U56)</f>
        <v>102.310689529838</v>
      </c>
      <c r="V57" s="32" t="n">
        <f aca="false">SUM(V52:V56)</f>
        <v>22.8140726427193</v>
      </c>
      <c r="W57" s="32" t="n">
        <f aca="false">SUM(W52:W56)</f>
        <v>-50</v>
      </c>
      <c r="X57" s="32" t="n">
        <f aca="false">SUM(X52:X56)</f>
        <v>0</v>
      </c>
      <c r="Y57" s="32" t="n">
        <f aca="false">SUM(Y52:Y56)</f>
        <v>0</v>
      </c>
      <c r="Z57" s="32" t="n">
        <f aca="false">SUM(Z52:Z56)</f>
        <v>0</v>
      </c>
      <c r="AA57" s="32" t="n">
        <f aca="false">SUM(AA52:AA56)</f>
        <v>0</v>
      </c>
      <c r="AB57" s="32" t="n">
        <f aca="false">SUM(AB52:AB56)</f>
        <v>0</v>
      </c>
      <c r="AC57" s="32" t="n">
        <f aca="false">SUM(AC52:AC56)</f>
        <v>0</v>
      </c>
    </row>
    <row r="58" customFormat="false" ht="15" hidden="false" customHeight="true" outlineLevel="0" collapsed="false">
      <c r="B58" s="6" t="s">
        <v>206</v>
      </c>
      <c r="C58" s="13"/>
      <c r="F58" s="33" t="n">
        <f aca="false">1/(1+$C$31)^(F35-0.5)</f>
        <v>0.962250448649376</v>
      </c>
      <c r="G58" s="33" t="n">
        <f aca="false">1/(1+$C$31)^(G35-0.5)</f>
        <v>0.890972637638311</v>
      </c>
      <c r="H58" s="33" t="n">
        <f aca="false">1/(1+$C$31)^(H35-0.5)</f>
        <v>0.824974664479918</v>
      </c>
      <c r="I58" s="33" t="n">
        <f aca="false">1/(1+$C$31)^(I35-0.5)</f>
        <v>0.763865430073998</v>
      </c>
      <c r="J58" s="33" t="n">
        <f aca="false">1/(1+$C$31)^(J35-0.5)</f>
        <v>0.707282805624072</v>
      </c>
      <c r="K58" s="33" t="n">
        <f aca="false">1/(1+$C$31)^(K35-0.5)</f>
        <v>0.654891486688956</v>
      </c>
      <c r="L58" s="33" t="n">
        <f aca="false">1/(1+$C$31)^(L35-0.5)</f>
        <v>0.606381006193477</v>
      </c>
      <c r="M58" s="33" t="n">
        <f aca="false">1/(1+$C$31)^(M35-0.5)</f>
        <v>0.56146389462359</v>
      </c>
      <c r="N58" s="33" t="n">
        <f aca="false">1/(1+$C$31)^(N35-0.5)</f>
        <v>0.519873976503324</v>
      </c>
      <c r="O58" s="33" t="n">
        <f aca="false">1/(1+$C$31)^(O35-0.5)</f>
        <v>0.481364793058633</v>
      </c>
      <c r="P58" s="33" t="n">
        <f aca="false">1/(1+$C$31)^(P35-0.5)</f>
        <v>0.445708141720957</v>
      </c>
      <c r="Q58" s="33" t="n">
        <f aca="false">1/(1+$C$31)^(Q35-0.5)</f>
        <v>0.412692723815701</v>
      </c>
      <c r="R58" s="33" t="n">
        <f aca="false">1/(1+$C$31)^(R35-0.5)</f>
        <v>0.382122892421945</v>
      </c>
      <c r="S58" s="33" t="n">
        <f aca="false">1/(1+$C$31)^(S35-0.5)</f>
        <v>0.353817492983282</v>
      </c>
      <c r="T58" s="33" t="n">
        <f aca="false">1/(1+$C$31)^(T35-0.5)</f>
        <v>0.327608789799336</v>
      </c>
      <c r="U58" s="33" t="n">
        <f aca="false">1/(1+$C$31)^(U35-0.5)</f>
        <v>0.303341472036422</v>
      </c>
      <c r="V58" s="33" t="n">
        <f aca="false">1/(1+$C$31)^(V35-0.5)</f>
        <v>0.280871733367057</v>
      </c>
      <c r="W58" s="33" t="n">
        <f aca="false">1/(1+$C$31)^(W35-0.5)</f>
        <v>0.260066419784312</v>
      </c>
      <c r="X58" s="33" t="n">
        <f aca="false">1/(1+$C$31)^(X35-0.5)</f>
        <v>0.24080224054103</v>
      </c>
      <c r="Y58" s="33" t="n">
        <f aca="false">1/(1+$C$31)^(Y35-0.5)</f>
        <v>0.222965037537991</v>
      </c>
      <c r="Z58" s="33" t="n">
        <f aca="false">1/(1+$C$31)^(Z35-0.5)</f>
        <v>0.206449108831473</v>
      </c>
      <c r="AA58" s="33" t="n">
        <f aca="false">1/(1+$C$31)^(AA35-0.5)</f>
        <v>0.191156582251364</v>
      </c>
      <c r="AB58" s="33" t="n">
        <f aca="false">1/(1+$C$31)^(AB35-0.5)</f>
        <v>0.176996835417929</v>
      </c>
      <c r="AC58" s="33" t="n">
        <f aca="false">1/(1+$C$31)^(AC35-0.5)</f>
        <v>0.163885958720305</v>
      </c>
    </row>
    <row r="59" customFormat="false" ht="15" hidden="false" customHeight="true" outlineLevel="0" collapsed="false">
      <c r="B59" s="5" t="s">
        <v>207</v>
      </c>
      <c r="C59" s="13" t="s">
        <v>165</v>
      </c>
      <c r="D59" s="31" t="n">
        <f aca="false">SUM(F59:AC59)</f>
        <v>970.677240123445</v>
      </c>
      <c r="F59" s="32" t="n">
        <f aca="false">F57*F58</f>
        <v>107.678644936055</v>
      </c>
      <c r="G59" s="32" t="n">
        <f aca="false">G57*G58</f>
        <v>118.082216273884</v>
      </c>
      <c r="H59" s="32" t="n">
        <f aca="false">H57*H58</f>
        <v>84.4037267675875</v>
      </c>
      <c r="I59" s="32" t="n">
        <f aca="false">I57*I58</f>
        <v>78.1515988588773</v>
      </c>
      <c r="J59" s="32" t="n">
        <f aca="false">J57*J58</f>
        <v>72.3625915359975</v>
      </c>
      <c r="K59" s="32" t="n">
        <f aca="false">K57*K58</f>
        <v>67.002399570368</v>
      </c>
      <c r="L59" s="32" t="n">
        <f aca="false">L57*L58</f>
        <v>62.0392588614519</v>
      </c>
      <c r="M59" s="32" t="n">
        <f aca="false">M57*M58</f>
        <v>57.443758205048</v>
      </c>
      <c r="N59" s="32" t="n">
        <f aca="false">N57*N58</f>
        <v>53.1886650046741</v>
      </c>
      <c r="O59" s="32" t="n">
        <f aca="false">O57*O58</f>
        <v>49.2487638932168</v>
      </c>
      <c r="P59" s="32" t="n">
        <f aca="false">P57*P58</f>
        <v>45.600707308534</v>
      </c>
      <c r="Q59" s="32" t="n">
        <f aca="false">Q57*Q58</f>
        <v>42.2228771375315</v>
      </c>
      <c r="R59" s="32" t="n">
        <f aca="false">R57*R58</f>
        <v>39.0952566088255</v>
      </c>
      <c r="S59" s="32" t="n">
        <f aca="false">S57*S58</f>
        <v>36.1993116748384</v>
      </c>
      <c r="T59" s="32" t="n">
        <f aca="false">T57*T58</f>
        <v>33.5178811804059</v>
      </c>
      <c r="U59" s="32" t="n">
        <f aca="false">U57*U58</f>
        <v>31.0350751670425</v>
      </c>
      <c r="V59" s="32" t="n">
        <f aca="false">V57*V58</f>
        <v>6.40782812832252</v>
      </c>
      <c r="W59" s="32" t="n">
        <f aca="false">W57*W58</f>
        <v>-13.0033209892156</v>
      </c>
      <c r="X59" s="32" t="n">
        <f aca="false">X57*X58</f>
        <v>0</v>
      </c>
      <c r="Y59" s="32" t="n">
        <f aca="false">Y57*Y58</f>
        <v>0</v>
      </c>
      <c r="Z59" s="32" t="n">
        <f aca="false">Z57*Z58</f>
        <v>0</v>
      </c>
      <c r="AA59" s="32" t="n">
        <f aca="false">AA57*AA58</f>
        <v>0</v>
      </c>
      <c r="AB59" s="32" t="n">
        <f aca="false">AB57*AB58</f>
        <v>0</v>
      </c>
      <c r="AC59" s="32" t="n">
        <f aca="false">AC57*AC58</f>
        <v>0</v>
      </c>
    </row>
    <row r="61" customFormat="false" ht="15" hidden="false" customHeight="true" outlineLevel="0" collapsed="false">
      <c r="B61" s="10" t="s">
        <v>208</v>
      </c>
      <c r="C61" s="11"/>
      <c r="D61" s="11"/>
    </row>
    <row r="62" customFormat="false" ht="15" hidden="false" customHeight="true" outlineLevel="0" collapsed="false">
      <c r="B62" s="5" t="s">
        <v>209</v>
      </c>
      <c r="C62" s="31" t="n">
        <f aca="false">SUM(F59:AC59)</f>
        <v>970.677240123445</v>
      </c>
      <c r="D62" s="13" t="s">
        <v>165</v>
      </c>
    </row>
    <row r="63" customFormat="false" ht="15" hidden="false" customHeight="true" outlineLevel="0" collapsed="false">
      <c r="B63" s="5" t="s">
        <v>210</v>
      </c>
      <c r="C63" s="34" t="n">
        <f aca="false">C62*$C$5</f>
        <v>970.677240123445</v>
      </c>
      <c r="D63" s="13" t="s">
        <v>165</v>
      </c>
    </row>
    <row r="64" customFormat="false" ht="15" hidden="false" customHeight="true" outlineLevel="0" collapsed="false">
      <c r="B64" s="5" t="s">
        <v>211</v>
      </c>
      <c r="C64" s="35" t="n">
        <f aca="false">COUNTIF(F40:AC40,"&gt;0")</f>
        <v>17</v>
      </c>
      <c r="D64" s="13" t="s">
        <v>168</v>
      </c>
    </row>
    <row r="65" customFormat="false" ht="15" hidden="false" customHeight="true" outlineLevel="0" collapsed="false">
      <c r="B65" s="5" t="s">
        <v>212</v>
      </c>
      <c r="C65" s="37" t="n">
        <f aca="false">IFERROR((-(F49+F50+F51+F53)-F47)/F42,0)</f>
        <v>3.36115224094968</v>
      </c>
      <c r="D65" s="13" t="s">
        <v>161</v>
      </c>
    </row>
    <row r="66" customFormat="false" ht="15" hidden="false" customHeight="true" outlineLevel="0" collapsed="false">
      <c r="B66" s="5" t="s">
        <v>214</v>
      </c>
      <c r="C66" s="37" t="n">
        <f aca="false">IFERROR((-(D49+D50+D51+D53)-D47)/D42,0)</f>
        <v>3.3674750029757</v>
      </c>
      <c r="D66" s="13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3"/>
    <col collapsed="false" customWidth="true" hidden="false" outlineLevel="0" max="29" min="6" style="1" width="9"/>
  </cols>
  <sheetData>
    <row r="1" customFormat="false" ht="17.25" hidden="false" customHeight="true" outlineLevel="0" collapsed="false">
      <c r="B1" s="2" t="s">
        <v>229</v>
      </c>
    </row>
    <row r="2" customFormat="false" ht="15" hidden="false" customHeight="true" outlineLevel="0" collapsed="false">
      <c r="B2" s="3" t="s">
        <v>127</v>
      </c>
    </row>
    <row r="4" customFormat="false" ht="15" hidden="false" customHeight="true" outlineLevel="0" collapsed="false">
      <c r="B4" s="4" t="s">
        <v>128</v>
      </c>
      <c r="C4" s="4" t="s">
        <v>129</v>
      </c>
      <c r="D4" s="4" t="s">
        <v>130</v>
      </c>
      <c r="F4" s="5" t="s">
        <v>131</v>
      </c>
    </row>
    <row r="5" customFormat="false" ht="15" hidden="false" customHeight="true" outlineLevel="0" collapsed="false">
      <c r="B5" s="6" t="s">
        <v>132</v>
      </c>
      <c r="C5" s="23" t="n">
        <v>1</v>
      </c>
      <c r="D5" s="13" t="s">
        <v>133</v>
      </c>
      <c r="F5" s="13" t="s">
        <v>230</v>
      </c>
    </row>
    <row r="6" customFormat="false" ht="15" hidden="false" customHeight="true" outlineLevel="0" collapsed="false">
      <c r="B6" s="6" t="s">
        <v>135</v>
      </c>
      <c r="C6" s="15" t="n">
        <v>43.052</v>
      </c>
      <c r="D6" s="13" t="s">
        <v>136</v>
      </c>
      <c r="F6" s="13" t="s">
        <v>231</v>
      </c>
    </row>
    <row r="7" customFormat="false" ht="15" hidden="false" customHeight="true" outlineLevel="0" collapsed="false">
      <c r="B7" s="6" t="s">
        <v>138</v>
      </c>
      <c r="C7" s="15" t="n">
        <v>6.6</v>
      </c>
      <c r="D7" s="13" t="s">
        <v>136</v>
      </c>
      <c r="F7" s="13" t="s">
        <v>232</v>
      </c>
    </row>
    <row r="8" customFormat="false" ht="15" hidden="false" customHeight="true" outlineLevel="0" collapsed="false">
      <c r="B8" s="6" t="s">
        <v>140</v>
      </c>
      <c r="C8" s="25" t="n">
        <v>0.0083</v>
      </c>
      <c r="D8" s="13" t="s">
        <v>141</v>
      </c>
      <c r="F8" s="13" t="s">
        <v>233</v>
      </c>
    </row>
    <row r="9" customFormat="false" ht="15" hidden="false" customHeight="true" outlineLevel="0" collapsed="false">
      <c r="B9" s="6" t="s">
        <v>143</v>
      </c>
      <c r="C9" s="12" t="n">
        <v>0</v>
      </c>
      <c r="D9" s="13" t="s">
        <v>144</v>
      </c>
      <c r="F9" s="13" t="s">
        <v>234</v>
      </c>
    </row>
    <row r="10" customFormat="false" ht="15" hidden="false" customHeight="true" outlineLevel="0" collapsed="false">
      <c r="B10" s="6" t="s">
        <v>146</v>
      </c>
      <c r="C10" s="23" t="n">
        <v>0.9</v>
      </c>
      <c r="D10" s="13" t="s">
        <v>133</v>
      </c>
    </row>
    <row r="11" customFormat="false" ht="15" hidden="false" customHeight="true" outlineLevel="0" collapsed="false">
      <c r="B11" s="6" t="s">
        <v>148</v>
      </c>
      <c r="C11" s="23" t="n">
        <v>0</v>
      </c>
      <c r="D11" s="13" t="s">
        <v>133</v>
      </c>
    </row>
    <row r="12" customFormat="false" ht="15" hidden="false" customHeight="true" outlineLevel="0" collapsed="false">
      <c r="B12" s="6" t="s">
        <v>150</v>
      </c>
      <c r="C12" s="23" t="n">
        <v>0.965</v>
      </c>
      <c r="D12" s="13" t="s">
        <v>133</v>
      </c>
    </row>
    <row r="13" customFormat="false" ht="15" hidden="false" customHeight="true" outlineLevel="0" collapsed="false">
      <c r="B13" s="6" t="s">
        <v>151</v>
      </c>
      <c r="C13" s="23" t="n">
        <v>0</v>
      </c>
      <c r="D13" s="13" t="s">
        <v>133</v>
      </c>
    </row>
    <row r="14" customFormat="false" ht="15" hidden="false" customHeight="true" outlineLevel="0" collapsed="false">
      <c r="B14" s="6" t="s">
        <v>152</v>
      </c>
      <c r="C14" s="12" t="n">
        <v>4</v>
      </c>
      <c r="D14" s="13" t="s">
        <v>153</v>
      </c>
    </row>
    <row r="15" customFormat="false" ht="15" hidden="false" customHeight="true" outlineLevel="0" collapsed="false">
      <c r="B15" s="6" t="s">
        <v>154</v>
      </c>
      <c r="C15" s="12" t="n">
        <v>4.4</v>
      </c>
      <c r="D15" s="13" t="s">
        <v>153</v>
      </c>
    </row>
    <row r="16" customFormat="false" ht="15" hidden="false" customHeight="true" outlineLevel="0" collapsed="false">
      <c r="B16" s="6" t="s">
        <v>155</v>
      </c>
      <c r="C16" s="22" t="n">
        <v>2027</v>
      </c>
      <c r="D16" s="13" t="s">
        <v>156</v>
      </c>
    </row>
    <row r="17" customFormat="false" ht="15" hidden="false" customHeight="true" outlineLevel="0" collapsed="false">
      <c r="B17" s="6" t="s">
        <v>157</v>
      </c>
      <c r="C17" s="22" t="n">
        <v>2027</v>
      </c>
      <c r="D17" s="13" t="s">
        <v>156</v>
      </c>
    </row>
    <row r="18" customFormat="false" ht="15" hidden="false" customHeight="true" outlineLevel="0" collapsed="false">
      <c r="B18" s="6" t="s">
        <v>158</v>
      </c>
      <c r="C18" s="12" t="n">
        <v>28</v>
      </c>
      <c r="D18" s="13" t="s">
        <v>159</v>
      </c>
    </row>
    <row r="19" customFormat="false" ht="15" hidden="false" customHeight="true" outlineLevel="0" collapsed="false">
      <c r="B19" s="6" t="s">
        <v>160</v>
      </c>
      <c r="C19" s="12" t="n">
        <v>0.35</v>
      </c>
      <c r="D19" s="13" t="s">
        <v>161</v>
      </c>
    </row>
    <row r="20" customFormat="false" ht="15" hidden="false" customHeight="true" outlineLevel="0" collapsed="false">
      <c r="B20" s="6" t="s">
        <v>162</v>
      </c>
      <c r="C20" s="24" t="n">
        <v>25</v>
      </c>
      <c r="D20" s="13" t="s">
        <v>163</v>
      </c>
    </row>
    <row r="21" customFormat="false" ht="15" hidden="false" customHeight="true" outlineLevel="0" collapsed="false">
      <c r="B21" s="6" t="s">
        <v>164</v>
      </c>
      <c r="C21" s="24" t="n">
        <v>0</v>
      </c>
      <c r="D21" s="13" t="s">
        <v>165</v>
      </c>
    </row>
    <row r="22" customFormat="false" ht="15" hidden="false" customHeight="true" outlineLevel="0" collapsed="false">
      <c r="B22" s="6" t="s">
        <v>166</v>
      </c>
      <c r="C22" s="22" t="n">
        <v>2027</v>
      </c>
      <c r="D22" s="13" t="s">
        <v>156</v>
      </c>
    </row>
    <row r="23" customFormat="false" ht="15" hidden="false" customHeight="true" outlineLevel="0" collapsed="false">
      <c r="B23" s="6" t="s">
        <v>167</v>
      </c>
      <c r="C23" s="22" t="n">
        <v>1</v>
      </c>
      <c r="D23" s="13" t="s">
        <v>168</v>
      </c>
    </row>
    <row r="24" customFormat="false" ht="15" hidden="false" customHeight="true" outlineLevel="0" collapsed="false">
      <c r="B24" s="6" t="s">
        <v>169</v>
      </c>
      <c r="C24" s="24" t="n">
        <v>40</v>
      </c>
      <c r="D24" s="13" t="s">
        <v>165</v>
      </c>
    </row>
    <row r="25" customFormat="false" ht="15" hidden="false" customHeight="true" outlineLevel="0" collapsed="false">
      <c r="B25" s="6" t="s">
        <v>170</v>
      </c>
      <c r="C25" s="25" t="n">
        <v>0.02</v>
      </c>
      <c r="D25" s="13" t="s">
        <v>171</v>
      </c>
    </row>
    <row r="26" customFormat="false" ht="15" hidden="false" customHeight="true" outlineLevel="0" collapsed="false">
      <c r="B26" s="6" t="s">
        <v>172</v>
      </c>
      <c r="C26" s="23" t="n">
        <v>0.1525</v>
      </c>
      <c r="D26" s="13" t="s">
        <v>133</v>
      </c>
    </row>
    <row r="27" customFormat="false" ht="15" hidden="false" customHeight="true" outlineLevel="0" collapsed="false">
      <c r="B27" s="6" t="s">
        <v>173</v>
      </c>
      <c r="C27" s="25" t="n">
        <v>0</v>
      </c>
      <c r="D27" s="13" t="s">
        <v>174</v>
      </c>
    </row>
    <row r="28" customFormat="false" ht="15" hidden="false" customHeight="true" outlineLevel="0" collapsed="false">
      <c r="B28" s="6" t="s">
        <v>175</v>
      </c>
      <c r="C28" s="14" t="n">
        <v>0</v>
      </c>
      <c r="D28" s="13" t="s">
        <v>50</v>
      </c>
    </row>
    <row r="29" customFormat="false" ht="15" hidden="false" customHeight="true" outlineLevel="0" collapsed="false">
      <c r="B29" s="6" t="s">
        <v>176</v>
      </c>
      <c r="C29" s="25" t="n">
        <v>0</v>
      </c>
      <c r="D29" s="13" t="s">
        <v>177</v>
      </c>
    </row>
    <row r="30" customFormat="false" ht="15" hidden="false" customHeight="true" outlineLevel="0" collapsed="false">
      <c r="B30" s="6" t="s">
        <v>178</v>
      </c>
      <c r="C30" s="23" t="n">
        <v>0</v>
      </c>
      <c r="D30" s="13" t="s">
        <v>179</v>
      </c>
    </row>
    <row r="31" customFormat="false" ht="15" hidden="false" customHeight="true" outlineLevel="0" collapsed="false">
      <c r="B31" s="5" t="s">
        <v>66</v>
      </c>
      <c r="C31" s="26" t="n">
        <f aca="false">Inputs!$C$26</f>
        <v>0.08</v>
      </c>
      <c r="D31" s="13" t="s">
        <v>180</v>
      </c>
    </row>
    <row r="34" customFormat="false" ht="15" hidden="false" customHeight="true" outlineLevel="0" collapsed="false">
      <c r="B34" s="4" t="s">
        <v>181</v>
      </c>
      <c r="C34" s="4" t="s">
        <v>130</v>
      </c>
      <c r="D34" s="4" t="s">
        <v>182</v>
      </c>
      <c r="F34" s="4" t="n">
        <v>2027</v>
      </c>
      <c r="G34" s="4" t="n">
        <v>2028</v>
      </c>
      <c r="H34" s="4" t="n">
        <v>2029</v>
      </c>
      <c r="I34" s="4" t="n">
        <v>2030</v>
      </c>
      <c r="J34" s="4" t="n">
        <v>2031</v>
      </c>
      <c r="K34" s="4" t="n">
        <v>2032</v>
      </c>
      <c r="L34" s="4" t="n">
        <v>2033</v>
      </c>
      <c r="M34" s="4" t="n">
        <v>2034</v>
      </c>
      <c r="N34" s="4" t="n">
        <v>2035</v>
      </c>
      <c r="O34" s="4" t="n">
        <v>2036</v>
      </c>
      <c r="P34" s="4" t="n">
        <v>2037</v>
      </c>
      <c r="Q34" s="4" t="n">
        <v>2038</v>
      </c>
      <c r="R34" s="4" t="n">
        <v>2039</v>
      </c>
      <c r="S34" s="4" t="n">
        <v>2040</v>
      </c>
      <c r="T34" s="4" t="n">
        <v>2041</v>
      </c>
      <c r="U34" s="4" t="n">
        <v>2042</v>
      </c>
      <c r="V34" s="4" t="n">
        <v>2043</v>
      </c>
      <c r="W34" s="4" t="n">
        <v>2044</v>
      </c>
      <c r="X34" s="4" t="n">
        <v>2045</v>
      </c>
      <c r="Y34" s="4" t="n">
        <v>2046</v>
      </c>
      <c r="Z34" s="4" t="n">
        <v>2047</v>
      </c>
      <c r="AA34" s="4" t="n">
        <v>2048</v>
      </c>
      <c r="AB34" s="4" t="n">
        <v>2049</v>
      </c>
      <c r="AC34" s="4" t="n">
        <v>2050</v>
      </c>
    </row>
    <row r="35" customFormat="false" ht="15" hidden="false" customHeight="true" outlineLevel="0" collapsed="false">
      <c r="B35" s="6" t="s">
        <v>183</v>
      </c>
      <c r="C35" s="13"/>
      <c r="F35" s="27" t="n">
        <f aca="false">F$34-2027+1</f>
        <v>1</v>
      </c>
      <c r="G35" s="27" t="n">
        <f aca="false">G$34-2027+1</f>
        <v>2</v>
      </c>
      <c r="H35" s="27" t="n">
        <f aca="false">H$34-2027+1</f>
        <v>3</v>
      </c>
      <c r="I35" s="27" t="n">
        <f aca="false">I$34-2027+1</f>
        <v>4</v>
      </c>
      <c r="J35" s="27" t="n">
        <f aca="false">J$34-2027+1</f>
        <v>5</v>
      </c>
      <c r="K35" s="27" t="n">
        <f aca="false">K$34-2027+1</f>
        <v>6</v>
      </c>
      <c r="L35" s="27" t="n">
        <f aca="false">L$34-2027+1</f>
        <v>7</v>
      </c>
      <c r="M35" s="27" t="n">
        <f aca="false">M$34-2027+1</f>
        <v>8</v>
      </c>
      <c r="N35" s="27" t="n">
        <f aca="false">N$34-2027+1</f>
        <v>9</v>
      </c>
      <c r="O35" s="27" t="n">
        <f aca="false">O$34-2027+1</f>
        <v>10</v>
      </c>
      <c r="P35" s="27" t="n">
        <f aca="false">P$34-2027+1</f>
        <v>11</v>
      </c>
      <c r="Q35" s="27" t="n">
        <f aca="false">Q$34-2027+1</f>
        <v>12</v>
      </c>
      <c r="R35" s="27" t="n">
        <f aca="false">R$34-2027+1</f>
        <v>13</v>
      </c>
      <c r="S35" s="27" t="n">
        <f aca="false">S$34-2027+1</f>
        <v>14</v>
      </c>
      <c r="T35" s="27" t="n">
        <f aca="false">T$34-2027+1</f>
        <v>15</v>
      </c>
      <c r="U35" s="27" t="n">
        <f aca="false">U$34-2027+1</f>
        <v>16</v>
      </c>
      <c r="V35" s="27" t="n">
        <f aca="false">V$34-2027+1</f>
        <v>17</v>
      </c>
      <c r="W35" s="27" t="n">
        <f aca="false">W$34-2027+1</f>
        <v>18</v>
      </c>
      <c r="X35" s="27" t="n">
        <f aca="false">X$34-2027+1</f>
        <v>19</v>
      </c>
      <c r="Y35" s="27" t="n">
        <f aca="false">Y$34-2027+1</f>
        <v>20</v>
      </c>
      <c r="Z35" s="27" t="n">
        <f aca="false">Z$34-2027+1</f>
        <v>21</v>
      </c>
      <c r="AA35" s="27" t="n">
        <f aca="false">AA$34-2027+1</f>
        <v>22</v>
      </c>
      <c r="AB35" s="27" t="n">
        <f aca="false">AB$34-2027+1</f>
        <v>23</v>
      </c>
      <c r="AC35" s="27" t="n">
        <f aca="false">AC$34-2027+1</f>
        <v>24</v>
      </c>
    </row>
    <row r="36" customFormat="false" ht="15" hidden="false" customHeight="true" outlineLevel="0" collapsed="false">
      <c r="B36" s="6" t="s">
        <v>184</v>
      </c>
      <c r="C36" s="13" t="s">
        <v>47</v>
      </c>
      <c r="F36" s="28" t="n">
        <f aca="false">Inputs!F$18</f>
        <v>6</v>
      </c>
      <c r="G36" s="28" t="n">
        <f aca="false">Inputs!G$18</f>
        <v>5.5</v>
      </c>
      <c r="H36" s="28" t="n">
        <f aca="false">Inputs!H$18</f>
        <v>5</v>
      </c>
      <c r="I36" s="28" t="n">
        <f aca="false">Inputs!I$18</f>
        <v>5</v>
      </c>
      <c r="J36" s="28" t="n">
        <f aca="false">Inputs!J$18</f>
        <v>5</v>
      </c>
      <c r="K36" s="28" t="n">
        <f aca="false">Inputs!K$18</f>
        <v>5</v>
      </c>
      <c r="L36" s="28" t="n">
        <f aca="false">Inputs!L$18</f>
        <v>5</v>
      </c>
      <c r="M36" s="28" t="n">
        <f aca="false">Inputs!M$18</f>
        <v>5</v>
      </c>
      <c r="N36" s="28" t="n">
        <f aca="false">Inputs!N$18</f>
        <v>5</v>
      </c>
      <c r="O36" s="28" t="n">
        <f aca="false">Inputs!O$18</f>
        <v>5</v>
      </c>
      <c r="P36" s="28" t="n">
        <f aca="false">Inputs!P$18</f>
        <v>5</v>
      </c>
      <c r="Q36" s="28" t="n">
        <f aca="false">Inputs!Q$18</f>
        <v>5</v>
      </c>
      <c r="R36" s="28" t="n">
        <f aca="false">Inputs!R$18</f>
        <v>5</v>
      </c>
      <c r="S36" s="28" t="n">
        <f aca="false">Inputs!S$18</f>
        <v>5</v>
      </c>
      <c r="T36" s="28" t="n">
        <f aca="false">Inputs!T$18</f>
        <v>5</v>
      </c>
      <c r="U36" s="28" t="n">
        <f aca="false">Inputs!U$18</f>
        <v>5</v>
      </c>
      <c r="V36" s="28" t="n">
        <f aca="false">Inputs!V$18</f>
        <v>5</v>
      </c>
      <c r="W36" s="28" t="n">
        <f aca="false">Inputs!W$18</f>
        <v>5</v>
      </c>
      <c r="X36" s="28" t="n">
        <f aca="false">Inputs!X$18</f>
        <v>5</v>
      </c>
      <c r="Y36" s="28" t="n">
        <f aca="false">Inputs!Y$18</f>
        <v>5</v>
      </c>
      <c r="Z36" s="28" t="n">
        <f aca="false">Inputs!Z$18</f>
        <v>5</v>
      </c>
      <c r="AA36" s="28" t="n">
        <f aca="false">Inputs!AA$18</f>
        <v>5</v>
      </c>
      <c r="AB36" s="28" t="n">
        <f aca="false">Inputs!AB$18</f>
        <v>5</v>
      </c>
      <c r="AC36" s="28" t="n">
        <f aca="false">Inputs!AC$18</f>
        <v>5</v>
      </c>
    </row>
    <row r="37" customFormat="false" ht="15" hidden="false" customHeight="true" outlineLevel="0" collapsed="false">
      <c r="B37" s="6" t="s">
        <v>185</v>
      </c>
      <c r="C37" s="13" t="s">
        <v>50</v>
      </c>
      <c r="F37" s="29" t="n">
        <f aca="false">Inputs!F$19</f>
        <v>3900</v>
      </c>
      <c r="G37" s="29" t="n">
        <f aca="false">Inputs!G$19</f>
        <v>3600</v>
      </c>
      <c r="H37" s="29" t="n">
        <f aca="false">Inputs!H$19</f>
        <v>3300</v>
      </c>
      <c r="I37" s="29" t="n">
        <f aca="false">Inputs!I$19</f>
        <v>3300</v>
      </c>
      <c r="J37" s="29" t="n">
        <f aca="false">Inputs!J$19</f>
        <v>3300</v>
      </c>
      <c r="K37" s="29" t="n">
        <f aca="false">Inputs!K$19</f>
        <v>3300</v>
      </c>
      <c r="L37" s="29" t="n">
        <f aca="false">Inputs!L$19</f>
        <v>3300</v>
      </c>
      <c r="M37" s="29" t="n">
        <f aca="false">Inputs!M$19</f>
        <v>3300</v>
      </c>
      <c r="N37" s="29" t="n">
        <f aca="false">Inputs!N$19</f>
        <v>3300</v>
      </c>
      <c r="O37" s="29" t="n">
        <f aca="false">Inputs!O$19</f>
        <v>3300</v>
      </c>
      <c r="P37" s="29" t="n">
        <f aca="false">Inputs!P$19</f>
        <v>3300</v>
      </c>
      <c r="Q37" s="29" t="n">
        <f aca="false">Inputs!Q$19</f>
        <v>3300</v>
      </c>
      <c r="R37" s="29" t="n">
        <f aca="false">Inputs!R$19</f>
        <v>3300</v>
      </c>
      <c r="S37" s="29" t="n">
        <f aca="false">Inputs!S$19</f>
        <v>3300</v>
      </c>
      <c r="T37" s="29" t="n">
        <f aca="false">Inputs!T$19</f>
        <v>3300</v>
      </c>
      <c r="U37" s="29" t="n">
        <f aca="false">Inputs!U$19</f>
        <v>3300</v>
      </c>
      <c r="V37" s="29" t="n">
        <f aca="false">Inputs!V$19</f>
        <v>3300</v>
      </c>
      <c r="W37" s="29" t="n">
        <f aca="false">Inputs!W$19</f>
        <v>3300</v>
      </c>
      <c r="X37" s="29" t="n">
        <f aca="false">Inputs!X$19</f>
        <v>3300</v>
      </c>
      <c r="Y37" s="29" t="n">
        <f aca="false">Inputs!Y$19</f>
        <v>3300</v>
      </c>
      <c r="Z37" s="29" t="n">
        <f aca="false">Inputs!Z$19</f>
        <v>3300</v>
      </c>
      <c r="AA37" s="29" t="n">
        <f aca="false">Inputs!AA$19</f>
        <v>3300</v>
      </c>
      <c r="AB37" s="29" t="n">
        <f aca="false">Inputs!AB$19</f>
        <v>3300</v>
      </c>
      <c r="AC37" s="29" t="n">
        <f aca="false">Inputs!AC$19</f>
        <v>3300</v>
      </c>
    </row>
    <row r="38" customFormat="false" ht="15" hidden="false" customHeight="true" outlineLevel="0" collapsed="false">
      <c r="B38" s="6" t="s">
        <v>186</v>
      </c>
      <c r="C38" s="13" t="s">
        <v>136</v>
      </c>
      <c r="F38" s="19" t="n">
        <f aca="false">IF(F$34&lt;$C$17,0,IF(F$34&gt;=$C$16,$C$15,$C$14))</f>
        <v>4.4</v>
      </c>
      <c r="G38" s="19" t="n">
        <f aca="false">IF(G$34&lt;$C$17,0,IF(G$34&gt;=$C$16,$C$15,$C$14))</f>
        <v>4.4</v>
      </c>
      <c r="H38" s="19" t="n">
        <f aca="false">IF(H$34&lt;$C$17,0,IF(H$34&gt;=$C$16,$C$15,$C$14))</f>
        <v>4.4</v>
      </c>
      <c r="I38" s="19" t="n">
        <f aca="false">IF(I$34&lt;$C$17,0,IF(I$34&gt;=$C$16,$C$15,$C$14))</f>
        <v>4.4</v>
      </c>
      <c r="J38" s="19" t="n">
        <f aca="false">IF(J$34&lt;$C$17,0,IF(J$34&gt;=$C$16,$C$15,$C$14))</f>
        <v>4.4</v>
      </c>
      <c r="K38" s="19" t="n">
        <f aca="false">IF(K$34&lt;$C$17,0,IF(K$34&gt;=$C$16,$C$15,$C$14))</f>
        <v>4.4</v>
      </c>
      <c r="L38" s="19" t="n">
        <f aca="false">IF(L$34&lt;$C$17,0,IF(L$34&gt;=$C$16,$C$15,$C$14))</f>
        <v>4.4</v>
      </c>
      <c r="M38" s="19" t="n">
        <f aca="false">IF(M$34&lt;$C$17,0,IF(M$34&gt;=$C$16,$C$15,$C$14))</f>
        <v>4.4</v>
      </c>
      <c r="N38" s="19" t="n">
        <f aca="false">IF(N$34&lt;$C$17,0,IF(N$34&gt;=$C$16,$C$15,$C$14))</f>
        <v>4.4</v>
      </c>
      <c r="O38" s="19" t="n">
        <f aca="false">IF(O$34&lt;$C$17,0,IF(O$34&gt;=$C$16,$C$15,$C$14))</f>
        <v>4.4</v>
      </c>
      <c r="P38" s="19" t="n">
        <f aca="false">IF(P$34&lt;$C$17,0,IF(P$34&gt;=$C$16,$C$15,$C$14))</f>
        <v>4.4</v>
      </c>
      <c r="Q38" s="19" t="n">
        <f aca="false">IF(Q$34&lt;$C$17,0,IF(Q$34&gt;=$C$16,$C$15,$C$14))</f>
        <v>4.4</v>
      </c>
      <c r="R38" s="19" t="n">
        <f aca="false">IF(R$34&lt;$C$17,0,IF(R$34&gt;=$C$16,$C$15,$C$14))</f>
        <v>4.4</v>
      </c>
      <c r="S38" s="19" t="n">
        <f aca="false">IF(S$34&lt;$C$17,0,IF(S$34&gt;=$C$16,$C$15,$C$14))</f>
        <v>4.4</v>
      </c>
      <c r="T38" s="19" t="n">
        <f aca="false">IF(T$34&lt;$C$17,0,IF(T$34&gt;=$C$16,$C$15,$C$14))</f>
        <v>4.4</v>
      </c>
      <c r="U38" s="19" t="n">
        <f aca="false">IF(U$34&lt;$C$17,0,IF(U$34&gt;=$C$16,$C$15,$C$14))</f>
        <v>4.4</v>
      </c>
      <c r="V38" s="19" t="n">
        <f aca="false">IF(V$34&lt;$C$17,0,IF(V$34&gt;=$C$16,$C$15,$C$14))</f>
        <v>4.4</v>
      </c>
      <c r="W38" s="19" t="n">
        <f aca="false">IF(W$34&lt;$C$17,0,IF(W$34&gt;=$C$16,$C$15,$C$14))</f>
        <v>4.4</v>
      </c>
      <c r="X38" s="19" t="n">
        <f aca="false">IF(X$34&lt;$C$17,0,IF(X$34&gt;=$C$16,$C$15,$C$14))</f>
        <v>4.4</v>
      </c>
      <c r="Y38" s="19" t="n">
        <f aca="false">IF(Y$34&lt;$C$17,0,IF(Y$34&gt;=$C$16,$C$15,$C$14))</f>
        <v>4.4</v>
      </c>
      <c r="Z38" s="19" t="n">
        <f aca="false">IF(Z$34&lt;$C$17,0,IF(Z$34&gt;=$C$16,$C$15,$C$14))</f>
        <v>4.4</v>
      </c>
      <c r="AA38" s="19" t="n">
        <f aca="false">IF(AA$34&lt;$C$17,0,IF(AA$34&gt;=$C$16,$C$15,$C$14))</f>
        <v>4.4</v>
      </c>
      <c r="AB38" s="19" t="n">
        <f aca="false">IF(AB$34&lt;$C$17,0,IF(AB$34&gt;=$C$16,$C$15,$C$14))</f>
        <v>4.4</v>
      </c>
      <c r="AC38" s="19" t="n">
        <f aca="false">IF(AC$34&lt;$C$17,0,IF(AC$34&gt;=$C$16,$C$15,$C$14))</f>
        <v>4.4</v>
      </c>
    </row>
    <row r="39" customFormat="false" ht="15" hidden="false" customHeight="true" outlineLevel="0" collapsed="false">
      <c r="B39" s="6" t="s">
        <v>187</v>
      </c>
      <c r="C39" s="13" t="s">
        <v>136</v>
      </c>
      <c r="F39" s="30" t="n">
        <f aca="false">$C$6-$C$7</f>
        <v>36.452</v>
      </c>
      <c r="G39" s="30" t="n">
        <f aca="false">F41</f>
        <v>32.052</v>
      </c>
      <c r="H39" s="30" t="n">
        <f aca="false">G41</f>
        <v>27.652</v>
      </c>
      <c r="I39" s="30" t="n">
        <f aca="false">H41</f>
        <v>23.252</v>
      </c>
      <c r="J39" s="30" t="n">
        <f aca="false">I41</f>
        <v>18.852</v>
      </c>
      <c r="K39" s="30" t="n">
        <f aca="false">J41</f>
        <v>14.452</v>
      </c>
      <c r="L39" s="30" t="n">
        <f aca="false">K41</f>
        <v>10.052</v>
      </c>
      <c r="M39" s="30" t="n">
        <f aca="false">L41</f>
        <v>5.652</v>
      </c>
      <c r="N39" s="30" t="n">
        <f aca="false">M41</f>
        <v>1.252</v>
      </c>
      <c r="O39" s="30" t="n">
        <f aca="false">N41</f>
        <v>0</v>
      </c>
      <c r="P39" s="30" t="n">
        <f aca="false">O41</f>
        <v>0</v>
      </c>
      <c r="Q39" s="30" t="n">
        <f aca="false">P41</f>
        <v>0</v>
      </c>
      <c r="R39" s="30" t="n">
        <f aca="false">Q41</f>
        <v>0</v>
      </c>
      <c r="S39" s="30" t="n">
        <f aca="false">R41</f>
        <v>0</v>
      </c>
      <c r="T39" s="30" t="n">
        <f aca="false">S41</f>
        <v>0</v>
      </c>
      <c r="U39" s="30" t="n">
        <f aca="false">T41</f>
        <v>0</v>
      </c>
      <c r="V39" s="30" t="n">
        <f aca="false">U41</f>
        <v>0</v>
      </c>
      <c r="W39" s="30" t="n">
        <f aca="false">V41</f>
        <v>0</v>
      </c>
      <c r="X39" s="30" t="n">
        <f aca="false">W41</f>
        <v>0</v>
      </c>
      <c r="Y39" s="30" t="n">
        <f aca="false">X41</f>
        <v>0</v>
      </c>
      <c r="Z39" s="30" t="n">
        <f aca="false">Y41</f>
        <v>0</v>
      </c>
      <c r="AA39" s="30" t="n">
        <f aca="false">Z41</f>
        <v>0</v>
      </c>
      <c r="AB39" s="30" t="n">
        <f aca="false">AA41</f>
        <v>0</v>
      </c>
      <c r="AC39" s="30" t="n">
        <f aca="false">AB41</f>
        <v>0</v>
      </c>
    </row>
    <row r="40" customFormat="false" ht="15" hidden="false" customHeight="true" outlineLevel="0" collapsed="false">
      <c r="B40" s="6" t="s">
        <v>188</v>
      </c>
      <c r="C40" s="13" t="s">
        <v>136</v>
      </c>
      <c r="D40" s="19" t="n">
        <f aca="false">SUM(F40:AC40)</f>
        <v>36.452</v>
      </c>
      <c r="F40" s="19" t="n">
        <f aca="false">MAX(0,MIN(F38,F39))</f>
        <v>4.4</v>
      </c>
      <c r="G40" s="19" t="n">
        <f aca="false">MAX(0,MIN(G38,G39))</f>
        <v>4.4</v>
      </c>
      <c r="H40" s="19" t="n">
        <f aca="false">MAX(0,MIN(H38,H39))</f>
        <v>4.4</v>
      </c>
      <c r="I40" s="19" t="n">
        <f aca="false">MAX(0,MIN(I38,I39))</f>
        <v>4.4</v>
      </c>
      <c r="J40" s="19" t="n">
        <f aca="false">MAX(0,MIN(J38,J39))</f>
        <v>4.4</v>
      </c>
      <c r="K40" s="19" t="n">
        <f aca="false">MAX(0,MIN(K38,K39))</f>
        <v>4.4</v>
      </c>
      <c r="L40" s="19" t="n">
        <f aca="false">MAX(0,MIN(L38,L39))</f>
        <v>4.4</v>
      </c>
      <c r="M40" s="19" t="n">
        <f aca="false">MAX(0,MIN(M38,M39))</f>
        <v>4.4</v>
      </c>
      <c r="N40" s="19" t="n">
        <f aca="false">MAX(0,MIN(N38,N39))</f>
        <v>1.252</v>
      </c>
      <c r="O40" s="19" t="n">
        <f aca="false">MAX(0,MIN(O38,O39))</f>
        <v>0</v>
      </c>
      <c r="P40" s="19" t="n">
        <f aca="false">MAX(0,MIN(P38,P39))</f>
        <v>0</v>
      </c>
      <c r="Q40" s="19" t="n">
        <f aca="false">MAX(0,MIN(Q38,Q39))</f>
        <v>0</v>
      </c>
      <c r="R40" s="19" t="n">
        <f aca="false">MAX(0,MIN(R38,R39))</f>
        <v>0</v>
      </c>
      <c r="S40" s="19" t="n">
        <f aca="false">MAX(0,MIN(S38,S39))</f>
        <v>0</v>
      </c>
      <c r="T40" s="19" t="n">
        <f aca="false">MAX(0,MIN(T38,T39))</f>
        <v>0</v>
      </c>
      <c r="U40" s="19" t="n">
        <f aca="false">MAX(0,MIN(U38,U39))</f>
        <v>0</v>
      </c>
      <c r="V40" s="19" t="n">
        <f aca="false">MAX(0,MIN(V38,V39))</f>
        <v>0</v>
      </c>
      <c r="W40" s="19" t="n">
        <f aca="false">MAX(0,MIN(W38,W39))</f>
        <v>0</v>
      </c>
      <c r="X40" s="19" t="n">
        <f aca="false">MAX(0,MIN(X38,X39))</f>
        <v>0</v>
      </c>
      <c r="Y40" s="19" t="n">
        <f aca="false">MAX(0,MIN(Y38,Y39))</f>
        <v>0</v>
      </c>
      <c r="Z40" s="19" t="n">
        <f aca="false">MAX(0,MIN(Z38,Z39))</f>
        <v>0</v>
      </c>
      <c r="AA40" s="19" t="n">
        <f aca="false">MAX(0,MIN(AA38,AA39))</f>
        <v>0</v>
      </c>
      <c r="AB40" s="19" t="n">
        <f aca="false">MAX(0,MIN(AB38,AB39))</f>
        <v>0</v>
      </c>
      <c r="AC40" s="19" t="n">
        <f aca="false">MAX(0,MIN(AC38,AC39))</f>
        <v>0</v>
      </c>
    </row>
    <row r="41" customFormat="false" ht="15" hidden="false" customHeight="true" outlineLevel="0" collapsed="false">
      <c r="B41" s="6" t="s">
        <v>189</v>
      </c>
      <c r="C41" s="13" t="s">
        <v>136</v>
      </c>
      <c r="F41" s="30" t="n">
        <f aca="false">F39-F40</f>
        <v>32.052</v>
      </c>
      <c r="G41" s="30" t="n">
        <f aca="false">G39-G40</f>
        <v>27.652</v>
      </c>
      <c r="H41" s="30" t="n">
        <f aca="false">H39-H40</f>
        <v>23.252</v>
      </c>
      <c r="I41" s="30" t="n">
        <f aca="false">I39-I40</f>
        <v>18.852</v>
      </c>
      <c r="J41" s="30" t="n">
        <f aca="false">J39-J40</f>
        <v>14.452</v>
      </c>
      <c r="K41" s="30" t="n">
        <f aca="false">K39-K40</f>
        <v>10.052</v>
      </c>
      <c r="L41" s="30" t="n">
        <f aca="false">L39-L40</f>
        <v>5.652</v>
      </c>
      <c r="M41" s="30" t="n">
        <f aca="false">M39-M40</f>
        <v>1.252</v>
      </c>
      <c r="N41" s="30" t="n">
        <f aca="false">N39-N40</f>
        <v>0</v>
      </c>
      <c r="O41" s="30" t="n">
        <f aca="false">O39-O40</f>
        <v>0</v>
      </c>
      <c r="P41" s="30" t="n">
        <f aca="false">P39-P40</f>
        <v>0</v>
      </c>
      <c r="Q41" s="30" t="n">
        <f aca="false">Q39-Q40</f>
        <v>0</v>
      </c>
      <c r="R41" s="30" t="n">
        <f aca="false">R39-R40</f>
        <v>0</v>
      </c>
      <c r="S41" s="30" t="n">
        <f aca="false">S39-S40</f>
        <v>0</v>
      </c>
      <c r="T41" s="30" t="n">
        <f aca="false">T39-T40</f>
        <v>0</v>
      </c>
      <c r="U41" s="30" t="n">
        <f aca="false">U39-U40</f>
        <v>0</v>
      </c>
      <c r="V41" s="30" t="n">
        <f aca="false">V39-V40</f>
        <v>0</v>
      </c>
      <c r="W41" s="30" t="n">
        <f aca="false">W39-W40</f>
        <v>0</v>
      </c>
      <c r="X41" s="30" t="n">
        <f aca="false">X39-X40</f>
        <v>0</v>
      </c>
      <c r="Y41" s="30" t="n">
        <f aca="false">Y39-Y40</f>
        <v>0</v>
      </c>
      <c r="Z41" s="30" t="n">
        <f aca="false">Z39-Z40</f>
        <v>0</v>
      </c>
      <c r="AA41" s="30" t="n">
        <f aca="false">AA39-AA40</f>
        <v>0</v>
      </c>
      <c r="AB41" s="30" t="n">
        <f aca="false">AB39-AB40</f>
        <v>0</v>
      </c>
      <c r="AC41" s="30" t="n">
        <f aca="false">AC39-AC40</f>
        <v>0</v>
      </c>
    </row>
    <row r="42" customFormat="false" ht="15" hidden="false" customHeight="true" outlineLevel="0" collapsed="false">
      <c r="B42" s="6" t="s">
        <v>190</v>
      </c>
      <c r="C42" s="13" t="s">
        <v>191</v>
      </c>
      <c r="D42" s="30" t="n">
        <f aca="false">SUM(F42:AC42)</f>
        <v>579.299321338452</v>
      </c>
      <c r="F42" s="30" t="n">
        <f aca="false">F40*$C$8*$C$10*$C$12*2204.62</f>
        <v>69.9252994044</v>
      </c>
      <c r="G42" s="30" t="n">
        <f aca="false">G40*$C$8*$C$10*$C$12*2204.62</f>
        <v>69.9252994044</v>
      </c>
      <c r="H42" s="30" t="n">
        <f aca="false">H40*$C$8*$C$10*$C$12*2204.62</f>
        <v>69.9252994044</v>
      </c>
      <c r="I42" s="30" t="n">
        <f aca="false">I40*$C$8*$C$10*$C$12*2204.62</f>
        <v>69.9252994044</v>
      </c>
      <c r="J42" s="30" t="n">
        <f aca="false">J40*$C$8*$C$10*$C$12*2204.62</f>
        <v>69.9252994044</v>
      </c>
      <c r="K42" s="30" t="n">
        <f aca="false">K40*$C$8*$C$10*$C$12*2204.62</f>
        <v>69.9252994044</v>
      </c>
      <c r="L42" s="30" t="n">
        <f aca="false">L40*$C$8*$C$10*$C$12*2204.62</f>
        <v>69.9252994044</v>
      </c>
      <c r="M42" s="30" t="n">
        <f aca="false">M40*$C$8*$C$10*$C$12*2204.62</f>
        <v>69.9252994044</v>
      </c>
      <c r="N42" s="30" t="n">
        <f aca="false">N40*$C$8*$C$10*$C$12*2204.62</f>
        <v>19.896926103252</v>
      </c>
      <c r="O42" s="30" t="n">
        <f aca="false">O40*$C$8*$C$10*$C$12*2204.62</f>
        <v>0</v>
      </c>
      <c r="P42" s="30" t="n">
        <f aca="false">P40*$C$8*$C$10*$C$12*2204.62</f>
        <v>0</v>
      </c>
      <c r="Q42" s="30" t="n">
        <f aca="false">Q40*$C$8*$C$10*$C$12*2204.62</f>
        <v>0</v>
      </c>
      <c r="R42" s="30" t="n">
        <f aca="false">R40*$C$8*$C$10*$C$12*2204.62</f>
        <v>0</v>
      </c>
      <c r="S42" s="30" t="n">
        <f aca="false">S40*$C$8*$C$10*$C$12*2204.62</f>
        <v>0</v>
      </c>
      <c r="T42" s="30" t="n">
        <f aca="false">T40*$C$8*$C$10*$C$12*2204.62</f>
        <v>0</v>
      </c>
      <c r="U42" s="30" t="n">
        <f aca="false">U40*$C$8*$C$10*$C$12*2204.62</f>
        <v>0</v>
      </c>
      <c r="V42" s="30" t="n">
        <f aca="false">V40*$C$8*$C$10*$C$12*2204.62</f>
        <v>0</v>
      </c>
      <c r="W42" s="30" t="n">
        <f aca="false">W40*$C$8*$C$10*$C$12*2204.62</f>
        <v>0</v>
      </c>
      <c r="X42" s="30" t="n">
        <f aca="false">X40*$C$8*$C$10*$C$12*2204.62</f>
        <v>0</v>
      </c>
      <c r="Y42" s="30" t="n">
        <f aca="false">Y40*$C$8*$C$10*$C$12*2204.62</f>
        <v>0</v>
      </c>
      <c r="Z42" s="30" t="n">
        <f aca="false">Z40*$C$8*$C$10*$C$12*2204.62</f>
        <v>0</v>
      </c>
      <c r="AA42" s="30" t="n">
        <f aca="false">AA40*$C$8*$C$10*$C$12*2204.62</f>
        <v>0</v>
      </c>
      <c r="AB42" s="30" t="n">
        <f aca="false">AB40*$C$8*$C$10*$C$12*2204.62</f>
        <v>0</v>
      </c>
      <c r="AC42" s="30" t="n">
        <f aca="false">AC40*$C$8*$C$10*$C$12*2204.62</f>
        <v>0</v>
      </c>
    </row>
    <row r="43" customFormat="false" ht="15" hidden="false" customHeight="true" outlineLevel="0" collapsed="false">
      <c r="B43" s="6" t="s">
        <v>192</v>
      </c>
      <c r="C43" s="13" t="s">
        <v>193</v>
      </c>
      <c r="D43" s="30" t="n">
        <f aca="false">SUM(F43:AC43)</f>
        <v>0</v>
      </c>
      <c r="F43" s="30" t="n">
        <f aca="false">F40*$C$9*$C$11*$C$13*1000/31.1035</f>
        <v>0</v>
      </c>
      <c r="G43" s="30" t="n">
        <f aca="false">G40*$C$9*$C$11*$C$13*1000/31.1035</f>
        <v>0</v>
      </c>
      <c r="H43" s="30" t="n">
        <f aca="false">H40*$C$9*$C$11*$C$13*1000/31.1035</f>
        <v>0</v>
      </c>
      <c r="I43" s="30" t="n">
        <f aca="false">I40*$C$9*$C$11*$C$13*1000/31.1035</f>
        <v>0</v>
      </c>
      <c r="J43" s="30" t="n">
        <f aca="false">J40*$C$9*$C$11*$C$13*1000/31.1035</f>
        <v>0</v>
      </c>
      <c r="K43" s="30" t="n">
        <f aca="false">K40*$C$9*$C$11*$C$13*1000/31.1035</f>
        <v>0</v>
      </c>
      <c r="L43" s="30" t="n">
        <f aca="false">L40*$C$9*$C$11*$C$13*1000/31.1035</f>
        <v>0</v>
      </c>
      <c r="M43" s="30" t="n">
        <f aca="false">M40*$C$9*$C$11*$C$13*1000/31.1035</f>
        <v>0</v>
      </c>
      <c r="N43" s="30" t="n">
        <f aca="false">N40*$C$9*$C$11*$C$13*1000/31.1035</f>
        <v>0</v>
      </c>
      <c r="O43" s="30" t="n">
        <f aca="false">O40*$C$9*$C$11*$C$13*1000/31.1035</f>
        <v>0</v>
      </c>
      <c r="P43" s="30" t="n">
        <f aca="false">P40*$C$9*$C$11*$C$13*1000/31.1035</f>
        <v>0</v>
      </c>
      <c r="Q43" s="30" t="n">
        <f aca="false">Q40*$C$9*$C$11*$C$13*1000/31.1035</f>
        <v>0</v>
      </c>
      <c r="R43" s="30" t="n">
        <f aca="false">R40*$C$9*$C$11*$C$13*1000/31.1035</f>
        <v>0</v>
      </c>
      <c r="S43" s="30" t="n">
        <f aca="false">S40*$C$9*$C$11*$C$13*1000/31.1035</f>
        <v>0</v>
      </c>
      <c r="T43" s="30" t="n">
        <f aca="false">T40*$C$9*$C$11*$C$13*1000/31.1035</f>
        <v>0</v>
      </c>
      <c r="U43" s="30" t="n">
        <f aca="false">U40*$C$9*$C$11*$C$13*1000/31.1035</f>
        <v>0</v>
      </c>
      <c r="V43" s="30" t="n">
        <f aca="false">V40*$C$9*$C$11*$C$13*1000/31.1035</f>
        <v>0</v>
      </c>
      <c r="W43" s="30" t="n">
        <f aca="false">W40*$C$9*$C$11*$C$13*1000/31.1035</f>
        <v>0</v>
      </c>
      <c r="X43" s="30" t="n">
        <f aca="false">X40*$C$9*$C$11*$C$13*1000/31.1035</f>
        <v>0</v>
      </c>
      <c r="Y43" s="30" t="n">
        <f aca="false">Y40*$C$9*$C$11*$C$13*1000/31.1035</f>
        <v>0</v>
      </c>
      <c r="Z43" s="30" t="n">
        <f aca="false">Z40*$C$9*$C$11*$C$13*1000/31.1035</f>
        <v>0</v>
      </c>
      <c r="AA43" s="30" t="n">
        <f aca="false">AA40*$C$9*$C$11*$C$13*1000/31.1035</f>
        <v>0</v>
      </c>
      <c r="AB43" s="30" t="n">
        <f aca="false">AB40*$C$9*$C$11*$C$13*1000/31.1035</f>
        <v>0</v>
      </c>
      <c r="AC43" s="30" t="n">
        <f aca="false">AC40*$C$9*$C$11*$C$13*1000/31.1035</f>
        <v>0</v>
      </c>
    </row>
    <row r="44" customFormat="false" ht="15" hidden="false" customHeight="true" outlineLevel="0" collapsed="false">
      <c r="B44" s="6" t="s">
        <v>194</v>
      </c>
      <c r="C44" s="13" t="s">
        <v>47</v>
      </c>
      <c r="F44" s="19" t="n">
        <f aca="false">F36*(1-$C$29)+F36*$C$29*$C$30</f>
        <v>6</v>
      </c>
      <c r="G44" s="19" t="n">
        <f aca="false">G36*(1-$C$29)+G36*$C$29*$C$30</f>
        <v>5.5</v>
      </c>
      <c r="H44" s="19" t="n">
        <f aca="false">H36*(1-$C$29)+H36*$C$29*$C$30</f>
        <v>5</v>
      </c>
      <c r="I44" s="19" t="n">
        <f aca="false">I36*(1-$C$29)+I36*$C$29*$C$30</f>
        <v>5</v>
      </c>
      <c r="J44" s="19" t="n">
        <f aca="false">J36*(1-$C$29)+J36*$C$29*$C$30</f>
        <v>5</v>
      </c>
      <c r="K44" s="19" t="n">
        <f aca="false">K36*(1-$C$29)+K36*$C$29*$C$30</f>
        <v>5</v>
      </c>
      <c r="L44" s="19" t="n">
        <f aca="false">L36*(1-$C$29)+L36*$C$29*$C$30</f>
        <v>5</v>
      </c>
      <c r="M44" s="19" t="n">
        <f aca="false">M36*(1-$C$29)+M36*$C$29*$C$30</f>
        <v>5</v>
      </c>
      <c r="N44" s="19" t="n">
        <f aca="false">N36*(1-$C$29)+N36*$C$29*$C$30</f>
        <v>5</v>
      </c>
      <c r="O44" s="19" t="n">
        <f aca="false">O36*(1-$C$29)+O36*$C$29*$C$30</f>
        <v>5</v>
      </c>
      <c r="P44" s="19" t="n">
        <f aca="false">P36*(1-$C$29)+P36*$C$29*$C$30</f>
        <v>5</v>
      </c>
      <c r="Q44" s="19" t="n">
        <f aca="false">Q36*(1-$C$29)+Q36*$C$29*$C$30</f>
        <v>5</v>
      </c>
      <c r="R44" s="19" t="n">
        <f aca="false">R36*(1-$C$29)+R36*$C$29*$C$30</f>
        <v>5</v>
      </c>
      <c r="S44" s="19" t="n">
        <f aca="false">S36*(1-$C$29)+S36*$C$29*$C$30</f>
        <v>5</v>
      </c>
      <c r="T44" s="19" t="n">
        <f aca="false">T36*(1-$C$29)+T36*$C$29*$C$30</f>
        <v>5</v>
      </c>
      <c r="U44" s="19" t="n">
        <f aca="false">U36*(1-$C$29)+U36*$C$29*$C$30</f>
        <v>5</v>
      </c>
      <c r="V44" s="19" t="n">
        <f aca="false">V36*(1-$C$29)+V36*$C$29*$C$30</f>
        <v>5</v>
      </c>
      <c r="W44" s="19" t="n">
        <f aca="false">W36*(1-$C$29)+W36*$C$29*$C$30</f>
        <v>5</v>
      </c>
      <c r="X44" s="19" t="n">
        <f aca="false">X36*(1-$C$29)+X36*$C$29*$C$30</f>
        <v>5</v>
      </c>
      <c r="Y44" s="19" t="n">
        <f aca="false">Y36*(1-$C$29)+Y36*$C$29*$C$30</f>
        <v>5</v>
      </c>
      <c r="Z44" s="19" t="n">
        <f aca="false">Z36*(1-$C$29)+Z36*$C$29*$C$30</f>
        <v>5</v>
      </c>
      <c r="AA44" s="19" t="n">
        <f aca="false">AA36*(1-$C$29)+AA36*$C$29*$C$30</f>
        <v>5</v>
      </c>
      <c r="AB44" s="19" t="n">
        <f aca="false">AB36*(1-$C$29)+AB36*$C$29*$C$30</f>
        <v>5</v>
      </c>
      <c r="AC44" s="19" t="n">
        <f aca="false">AC36*(1-$C$29)+AC36*$C$29*$C$30</f>
        <v>5</v>
      </c>
    </row>
    <row r="45" customFormat="false" ht="15" hidden="false" customHeight="true" outlineLevel="0" collapsed="false">
      <c r="B45" s="6" t="s">
        <v>195</v>
      </c>
      <c r="C45" s="13" t="s">
        <v>50</v>
      </c>
      <c r="F45" s="20" t="n">
        <f aca="false">F37*(1-$C$27)+$C$27*$C$28</f>
        <v>3900</v>
      </c>
      <c r="G45" s="20" t="n">
        <f aca="false">G37*(1-$C$27)+$C$27*$C$28</f>
        <v>3600</v>
      </c>
      <c r="H45" s="20" t="n">
        <f aca="false">H37*(1-$C$27)+$C$27*$C$28</f>
        <v>3300</v>
      </c>
      <c r="I45" s="20" t="n">
        <f aca="false">I37*(1-$C$27)+$C$27*$C$28</f>
        <v>3300</v>
      </c>
      <c r="J45" s="20" t="n">
        <f aca="false">J37*(1-$C$27)+$C$27*$C$28</f>
        <v>3300</v>
      </c>
      <c r="K45" s="20" t="n">
        <f aca="false">K37*(1-$C$27)+$C$27*$C$28</f>
        <v>3300</v>
      </c>
      <c r="L45" s="20" t="n">
        <f aca="false">L37*(1-$C$27)+$C$27*$C$28</f>
        <v>3300</v>
      </c>
      <c r="M45" s="20" t="n">
        <f aca="false">M37*(1-$C$27)+$C$27*$C$28</f>
        <v>3300</v>
      </c>
      <c r="N45" s="20" t="n">
        <f aca="false">N37*(1-$C$27)+$C$27*$C$28</f>
        <v>3300</v>
      </c>
      <c r="O45" s="20" t="n">
        <f aca="false">O37*(1-$C$27)+$C$27*$C$28</f>
        <v>3300</v>
      </c>
      <c r="P45" s="20" t="n">
        <f aca="false">P37*(1-$C$27)+$C$27*$C$28</f>
        <v>3300</v>
      </c>
      <c r="Q45" s="20" t="n">
        <f aca="false">Q37*(1-$C$27)+$C$27*$C$28</f>
        <v>3300</v>
      </c>
      <c r="R45" s="20" t="n">
        <f aca="false">R37*(1-$C$27)+$C$27*$C$28</f>
        <v>3300</v>
      </c>
      <c r="S45" s="20" t="n">
        <f aca="false">S37*(1-$C$27)+$C$27*$C$28</f>
        <v>3300</v>
      </c>
      <c r="T45" s="20" t="n">
        <f aca="false">T37*(1-$C$27)+$C$27*$C$28</f>
        <v>3300</v>
      </c>
      <c r="U45" s="20" t="n">
        <f aca="false">U37*(1-$C$27)+$C$27*$C$28</f>
        <v>3300</v>
      </c>
      <c r="V45" s="20" t="n">
        <f aca="false">V37*(1-$C$27)+$C$27*$C$28</f>
        <v>3300</v>
      </c>
      <c r="W45" s="20" t="n">
        <f aca="false">W37*(1-$C$27)+$C$27*$C$28</f>
        <v>3300</v>
      </c>
      <c r="X45" s="20" t="n">
        <f aca="false">X37*(1-$C$27)+$C$27*$C$28</f>
        <v>3300</v>
      </c>
      <c r="Y45" s="20" t="n">
        <f aca="false">Y37*(1-$C$27)+$C$27*$C$28</f>
        <v>3300</v>
      </c>
      <c r="Z45" s="20" t="n">
        <f aca="false">Z37*(1-$C$27)+$C$27*$C$28</f>
        <v>3300</v>
      </c>
      <c r="AA45" s="20" t="n">
        <f aca="false">AA37*(1-$C$27)+$C$27*$C$28</f>
        <v>3300</v>
      </c>
      <c r="AB45" s="20" t="n">
        <f aca="false">AB37*(1-$C$27)+$C$27*$C$28</f>
        <v>3300</v>
      </c>
      <c r="AC45" s="20" t="n">
        <f aca="false">AC37*(1-$C$27)+$C$27*$C$28</f>
        <v>3300</v>
      </c>
    </row>
    <row r="46" customFormat="false" ht="15" hidden="false" customHeight="true" outlineLevel="0" collapsed="false">
      <c r="B46" s="6" t="s">
        <v>196</v>
      </c>
      <c r="C46" s="13" t="s">
        <v>165</v>
      </c>
      <c r="D46" s="30" t="n">
        <f aca="false">SUM(F46:AC46)</f>
        <v>3001.38455579886</v>
      </c>
      <c r="F46" s="30" t="n">
        <f aca="false">F42*F44</f>
        <v>419.5517964264</v>
      </c>
      <c r="G46" s="30" t="n">
        <f aca="false">G42*G44</f>
        <v>384.5891467242</v>
      </c>
      <c r="H46" s="30" t="n">
        <f aca="false">H42*H44</f>
        <v>349.626497022</v>
      </c>
      <c r="I46" s="30" t="n">
        <f aca="false">I42*I44</f>
        <v>349.626497022</v>
      </c>
      <c r="J46" s="30" t="n">
        <f aca="false">J42*J44</f>
        <v>349.626497022</v>
      </c>
      <c r="K46" s="30" t="n">
        <f aca="false">K42*K44</f>
        <v>349.626497022</v>
      </c>
      <c r="L46" s="30" t="n">
        <f aca="false">L42*L44</f>
        <v>349.626497022</v>
      </c>
      <c r="M46" s="30" t="n">
        <f aca="false">M42*M44</f>
        <v>349.626497022</v>
      </c>
      <c r="N46" s="30" t="n">
        <f aca="false">N42*N44</f>
        <v>99.4846305162602</v>
      </c>
      <c r="O46" s="30" t="n">
        <f aca="false">O42*O44</f>
        <v>0</v>
      </c>
      <c r="P46" s="30" t="n">
        <f aca="false">P42*P44</f>
        <v>0</v>
      </c>
      <c r="Q46" s="30" t="n">
        <f aca="false">Q42*Q44</f>
        <v>0</v>
      </c>
      <c r="R46" s="30" t="n">
        <f aca="false">R42*R44</f>
        <v>0</v>
      </c>
      <c r="S46" s="30" t="n">
        <f aca="false">S42*S44</f>
        <v>0</v>
      </c>
      <c r="T46" s="30" t="n">
        <f aca="false">T42*T44</f>
        <v>0</v>
      </c>
      <c r="U46" s="30" t="n">
        <f aca="false">U42*U44</f>
        <v>0</v>
      </c>
      <c r="V46" s="30" t="n">
        <f aca="false">V42*V44</f>
        <v>0</v>
      </c>
      <c r="W46" s="30" t="n">
        <f aca="false">W42*W44</f>
        <v>0</v>
      </c>
      <c r="X46" s="30" t="n">
        <f aca="false">X42*X44</f>
        <v>0</v>
      </c>
      <c r="Y46" s="30" t="n">
        <f aca="false">Y42*Y44</f>
        <v>0</v>
      </c>
      <c r="Z46" s="30" t="n">
        <f aca="false">Z42*Z44</f>
        <v>0</v>
      </c>
      <c r="AA46" s="30" t="n">
        <f aca="false">AA42*AA44</f>
        <v>0</v>
      </c>
      <c r="AB46" s="30" t="n">
        <f aca="false">AB42*AB44</f>
        <v>0</v>
      </c>
      <c r="AC46" s="30" t="n">
        <f aca="false">AC42*AC44</f>
        <v>0</v>
      </c>
    </row>
    <row r="47" customFormat="false" ht="15" hidden="false" customHeight="true" outlineLevel="0" collapsed="false">
      <c r="B47" s="6" t="s">
        <v>197</v>
      </c>
      <c r="C47" s="13" t="s">
        <v>165</v>
      </c>
      <c r="D47" s="30" t="n">
        <f aca="false">SUM(F47:AC47)</f>
        <v>0</v>
      </c>
      <c r="F47" s="30" t="n">
        <f aca="false">F43*F45/1000</f>
        <v>0</v>
      </c>
      <c r="G47" s="30" t="n">
        <f aca="false">G43*G45/1000</f>
        <v>0</v>
      </c>
      <c r="H47" s="30" t="n">
        <f aca="false">H43*H45/1000</f>
        <v>0</v>
      </c>
      <c r="I47" s="30" t="n">
        <f aca="false">I43*I45/1000</f>
        <v>0</v>
      </c>
      <c r="J47" s="30" t="n">
        <f aca="false">J43*J45/1000</f>
        <v>0</v>
      </c>
      <c r="K47" s="30" t="n">
        <f aca="false">K43*K45/1000</f>
        <v>0</v>
      </c>
      <c r="L47" s="30" t="n">
        <f aca="false">L43*L45/1000</f>
        <v>0</v>
      </c>
      <c r="M47" s="30" t="n">
        <f aca="false">M43*M45/1000</f>
        <v>0</v>
      </c>
      <c r="N47" s="30" t="n">
        <f aca="false">N43*N45/1000</f>
        <v>0</v>
      </c>
      <c r="O47" s="30" t="n">
        <f aca="false">O43*O45/1000</f>
        <v>0</v>
      </c>
      <c r="P47" s="30" t="n">
        <f aca="false">P43*P45/1000</f>
        <v>0</v>
      </c>
      <c r="Q47" s="30" t="n">
        <f aca="false">Q43*Q45/1000</f>
        <v>0</v>
      </c>
      <c r="R47" s="30" t="n">
        <f aca="false">R43*R45/1000</f>
        <v>0</v>
      </c>
      <c r="S47" s="30" t="n">
        <f aca="false">S43*S45/1000</f>
        <v>0</v>
      </c>
      <c r="T47" s="30" t="n">
        <f aca="false">T43*T45/1000</f>
        <v>0</v>
      </c>
      <c r="U47" s="30" t="n">
        <f aca="false">U43*U45/1000</f>
        <v>0</v>
      </c>
      <c r="V47" s="30" t="n">
        <f aca="false">V43*V45/1000</f>
        <v>0</v>
      </c>
      <c r="W47" s="30" t="n">
        <f aca="false">W43*W45/1000</f>
        <v>0</v>
      </c>
      <c r="X47" s="30" t="n">
        <f aca="false">X43*X45/1000</f>
        <v>0</v>
      </c>
      <c r="Y47" s="30" t="n">
        <f aca="false">Y43*Y45/1000</f>
        <v>0</v>
      </c>
      <c r="Z47" s="30" t="n">
        <f aca="false">Z43*Z45/1000</f>
        <v>0</v>
      </c>
      <c r="AA47" s="30" t="n">
        <f aca="false">AA43*AA45/1000</f>
        <v>0</v>
      </c>
      <c r="AB47" s="30" t="n">
        <f aca="false">AB43*AB45/1000</f>
        <v>0</v>
      </c>
      <c r="AC47" s="30" t="n">
        <f aca="false">AC43*AC45/1000</f>
        <v>0</v>
      </c>
    </row>
    <row r="48" customFormat="false" ht="15" hidden="false" customHeight="true" outlineLevel="0" collapsed="false">
      <c r="B48" s="5" t="s">
        <v>198</v>
      </c>
      <c r="C48" s="13" t="s">
        <v>165</v>
      </c>
      <c r="D48" s="31" t="n">
        <f aca="false">SUM(F48:AC48)</f>
        <v>3001.38455579886</v>
      </c>
      <c r="F48" s="32" t="n">
        <f aca="false">F46+F47</f>
        <v>419.5517964264</v>
      </c>
      <c r="G48" s="32" t="n">
        <f aca="false">G46+G47</f>
        <v>384.5891467242</v>
      </c>
      <c r="H48" s="32" t="n">
        <f aca="false">H46+H47</f>
        <v>349.626497022</v>
      </c>
      <c r="I48" s="32" t="n">
        <f aca="false">I46+I47</f>
        <v>349.626497022</v>
      </c>
      <c r="J48" s="32" t="n">
        <f aca="false">J46+J47</f>
        <v>349.626497022</v>
      </c>
      <c r="K48" s="32" t="n">
        <f aca="false">K46+K47</f>
        <v>349.626497022</v>
      </c>
      <c r="L48" s="32" t="n">
        <f aca="false">L46+L47</f>
        <v>349.626497022</v>
      </c>
      <c r="M48" s="32" t="n">
        <f aca="false">M46+M47</f>
        <v>349.626497022</v>
      </c>
      <c r="N48" s="32" t="n">
        <f aca="false">N46+N47</f>
        <v>99.4846305162602</v>
      </c>
      <c r="O48" s="32" t="n">
        <f aca="false">O46+O47</f>
        <v>0</v>
      </c>
      <c r="P48" s="32" t="n">
        <f aca="false">P46+P47</f>
        <v>0</v>
      </c>
      <c r="Q48" s="32" t="n">
        <f aca="false">Q46+Q47</f>
        <v>0</v>
      </c>
      <c r="R48" s="32" t="n">
        <f aca="false">R46+R47</f>
        <v>0</v>
      </c>
      <c r="S48" s="32" t="n">
        <f aca="false">S46+S47</f>
        <v>0</v>
      </c>
      <c r="T48" s="32" t="n">
        <f aca="false">T46+T47</f>
        <v>0</v>
      </c>
      <c r="U48" s="32" t="n">
        <f aca="false">U46+U47</f>
        <v>0</v>
      </c>
      <c r="V48" s="32" t="n">
        <f aca="false">V46+V47</f>
        <v>0</v>
      </c>
      <c r="W48" s="32" t="n">
        <f aca="false">W46+W47</f>
        <v>0</v>
      </c>
      <c r="X48" s="32" t="n">
        <f aca="false">X46+X47</f>
        <v>0</v>
      </c>
      <c r="Y48" s="32" t="n">
        <f aca="false">Y46+Y47</f>
        <v>0</v>
      </c>
      <c r="Z48" s="32" t="n">
        <f aca="false">Z46+Z47</f>
        <v>0</v>
      </c>
      <c r="AA48" s="32" t="n">
        <f aca="false">AA46+AA47</f>
        <v>0</v>
      </c>
      <c r="AB48" s="32" t="n">
        <f aca="false">AB46+AB47</f>
        <v>0</v>
      </c>
      <c r="AC48" s="32" t="n">
        <f aca="false">AC46+AC47</f>
        <v>0</v>
      </c>
    </row>
    <row r="49" customFormat="false" ht="15" hidden="false" customHeight="true" outlineLevel="0" collapsed="false">
      <c r="B49" s="6" t="s">
        <v>160</v>
      </c>
      <c r="C49" s="13" t="s">
        <v>165</v>
      </c>
      <c r="D49" s="30" t="n">
        <f aca="false">SUM(F49:AC49)</f>
        <v>-202.754762468458</v>
      </c>
      <c r="F49" s="30" t="n">
        <f aca="false">-F42*$C$19</f>
        <v>-24.47385479154</v>
      </c>
      <c r="G49" s="30" t="n">
        <f aca="false">-G42*$C$19</f>
        <v>-24.47385479154</v>
      </c>
      <c r="H49" s="30" t="n">
        <f aca="false">-H42*$C$19</f>
        <v>-24.47385479154</v>
      </c>
      <c r="I49" s="30" t="n">
        <f aca="false">-I42*$C$19</f>
        <v>-24.47385479154</v>
      </c>
      <c r="J49" s="30" t="n">
        <f aca="false">-J42*$C$19</f>
        <v>-24.47385479154</v>
      </c>
      <c r="K49" s="30" t="n">
        <f aca="false">-K42*$C$19</f>
        <v>-24.47385479154</v>
      </c>
      <c r="L49" s="30" t="n">
        <f aca="false">-L42*$C$19</f>
        <v>-24.47385479154</v>
      </c>
      <c r="M49" s="30" t="n">
        <f aca="false">-M42*$C$19</f>
        <v>-24.47385479154</v>
      </c>
      <c r="N49" s="30" t="n">
        <f aca="false">-N42*$C$19</f>
        <v>-6.96392413613821</v>
      </c>
      <c r="O49" s="30" t="n">
        <f aca="false">-O42*$C$19</f>
        <v>-0</v>
      </c>
      <c r="P49" s="30" t="n">
        <f aca="false">-P42*$C$19</f>
        <v>-0</v>
      </c>
      <c r="Q49" s="30" t="n">
        <f aca="false">-Q42*$C$19</f>
        <v>-0</v>
      </c>
      <c r="R49" s="30" t="n">
        <f aca="false">-R42*$C$19</f>
        <v>-0</v>
      </c>
      <c r="S49" s="30" t="n">
        <f aca="false">-S42*$C$19</f>
        <v>-0</v>
      </c>
      <c r="T49" s="30" t="n">
        <f aca="false">-T42*$C$19</f>
        <v>-0</v>
      </c>
      <c r="U49" s="30" t="n">
        <f aca="false">-U42*$C$19</f>
        <v>-0</v>
      </c>
      <c r="V49" s="30" t="n">
        <f aca="false">-V42*$C$19</f>
        <v>-0</v>
      </c>
      <c r="W49" s="30" t="n">
        <f aca="false">-W42*$C$19</f>
        <v>-0</v>
      </c>
      <c r="X49" s="30" t="n">
        <f aca="false">-X42*$C$19</f>
        <v>-0</v>
      </c>
      <c r="Y49" s="30" t="n">
        <f aca="false">-Y42*$C$19</f>
        <v>-0</v>
      </c>
      <c r="Z49" s="30" t="n">
        <f aca="false">-Z42*$C$19</f>
        <v>-0</v>
      </c>
      <c r="AA49" s="30" t="n">
        <f aca="false">-AA42*$C$19</f>
        <v>-0</v>
      </c>
      <c r="AB49" s="30" t="n">
        <f aca="false">-AB42*$C$19</f>
        <v>-0</v>
      </c>
      <c r="AC49" s="30" t="n">
        <f aca="false">-AC42*$C$19</f>
        <v>-0</v>
      </c>
    </row>
    <row r="50" customFormat="false" ht="15" hidden="false" customHeight="true" outlineLevel="0" collapsed="false">
      <c r="B50" s="6" t="s">
        <v>199</v>
      </c>
      <c r="C50" s="13" t="s">
        <v>165</v>
      </c>
      <c r="D50" s="30" t="n">
        <f aca="false">SUM(F50:AC50)</f>
        <v>-60.0276911159772</v>
      </c>
      <c r="F50" s="30" t="n">
        <f aca="false">-F48*$C$25</f>
        <v>-8.391035928528</v>
      </c>
      <c r="G50" s="30" t="n">
        <f aca="false">-G48*$C$25</f>
        <v>-7.691782934484</v>
      </c>
      <c r="H50" s="30" t="n">
        <f aca="false">-H48*$C$25</f>
        <v>-6.99252994044</v>
      </c>
      <c r="I50" s="30" t="n">
        <f aca="false">-I48*$C$25</f>
        <v>-6.99252994044</v>
      </c>
      <c r="J50" s="30" t="n">
        <f aca="false">-J48*$C$25</f>
        <v>-6.99252994044</v>
      </c>
      <c r="K50" s="30" t="n">
        <f aca="false">-K48*$C$25</f>
        <v>-6.99252994044</v>
      </c>
      <c r="L50" s="30" t="n">
        <f aca="false">-L48*$C$25</f>
        <v>-6.99252994044</v>
      </c>
      <c r="M50" s="30" t="n">
        <f aca="false">-M48*$C$25</f>
        <v>-6.99252994044</v>
      </c>
      <c r="N50" s="30" t="n">
        <f aca="false">-N48*$C$25</f>
        <v>-1.9896926103252</v>
      </c>
      <c r="O50" s="30" t="n">
        <f aca="false">-O48*$C$25</f>
        <v>-0</v>
      </c>
      <c r="P50" s="30" t="n">
        <f aca="false">-P48*$C$25</f>
        <v>-0</v>
      </c>
      <c r="Q50" s="30" t="n">
        <f aca="false">-Q48*$C$25</f>
        <v>-0</v>
      </c>
      <c r="R50" s="30" t="n">
        <f aca="false">-R48*$C$25</f>
        <v>-0</v>
      </c>
      <c r="S50" s="30" t="n">
        <f aca="false">-S48*$C$25</f>
        <v>-0</v>
      </c>
      <c r="T50" s="30" t="n">
        <f aca="false">-T48*$C$25</f>
        <v>-0</v>
      </c>
      <c r="U50" s="30" t="n">
        <f aca="false">-U48*$C$25</f>
        <v>-0</v>
      </c>
      <c r="V50" s="30" t="n">
        <f aca="false">-V48*$C$25</f>
        <v>-0</v>
      </c>
      <c r="W50" s="30" t="n">
        <f aca="false">-W48*$C$25</f>
        <v>-0</v>
      </c>
      <c r="X50" s="30" t="n">
        <f aca="false">-X48*$C$25</f>
        <v>-0</v>
      </c>
      <c r="Y50" s="30" t="n">
        <f aca="false">-Y48*$C$25</f>
        <v>-0</v>
      </c>
      <c r="Z50" s="30" t="n">
        <f aca="false">-Z48*$C$25</f>
        <v>-0</v>
      </c>
      <c r="AA50" s="30" t="n">
        <f aca="false">-AA48*$C$25</f>
        <v>-0</v>
      </c>
      <c r="AB50" s="30" t="n">
        <f aca="false">-AB48*$C$25</f>
        <v>-0</v>
      </c>
      <c r="AC50" s="30" t="n">
        <f aca="false">-AC48*$C$25</f>
        <v>-0</v>
      </c>
    </row>
    <row r="51" customFormat="false" ht="15" hidden="false" customHeight="true" outlineLevel="0" collapsed="false">
      <c r="B51" s="6" t="s">
        <v>200</v>
      </c>
      <c r="C51" s="13" t="s">
        <v>165</v>
      </c>
      <c r="D51" s="30" t="n">
        <f aca="false">SUM(F51:AC51)</f>
        <v>-1020.656</v>
      </c>
      <c r="F51" s="30" t="n">
        <f aca="false">-F40*$C$18</f>
        <v>-123.2</v>
      </c>
      <c r="G51" s="30" t="n">
        <f aca="false">-G40*$C$18</f>
        <v>-123.2</v>
      </c>
      <c r="H51" s="30" t="n">
        <f aca="false">-H40*$C$18</f>
        <v>-123.2</v>
      </c>
      <c r="I51" s="30" t="n">
        <f aca="false">-I40*$C$18</f>
        <v>-123.2</v>
      </c>
      <c r="J51" s="30" t="n">
        <f aca="false">-J40*$C$18</f>
        <v>-123.2</v>
      </c>
      <c r="K51" s="30" t="n">
        <f aca="false">-K40*$C$18</f>
        <v>-123.2</v>
      </c>
      <c r="L51" s="30" t="n">
        <f aca="false">-L40*$C$18</f>
        <v>-123.2</v>
      </c>
      <c r="M51" s="30" t="n">
        <f aca="false">-M40*$C$18</f>
        <v>-123.2</v>
      </c>
      <c r="N51" s="30" t="n">
        <f aca="false">-N40*$C$18</f>
        <v>-35.0560000000001</v>
      </c>
      <c r="O51" s="30" t="n">
        <f aca="false">-O40*$C$18</f>
        <v>-0</v>
      </c>
      <c r="P51" s="30" t="n">
        <f aca="false">-P40*$C$18</f>
        <v>-0</v>
      </c>
      <c r="Q51" s="30" t="n">
        <f aca="false">-Q40*$C$18</f>
        <v>-0</v>
      </c>
      <c r="R51" s="30" t="n">
        <f aca="false">-R40*$C$18</f>
        <v>-0</v>
      </c>
      <c r="S51" s="30" t="n">
        <f aca="false">-S40*$C$18</f>
        <v>-0</v>
      </c>
      <c r="T51" s="30" t="n">
        <f aca="false">-T40*$C$18</f>
        <v>-0</v>
      </c>
      <c r="U51" s="30" t="n">
        <f aca="false">-U40*$C$18</f>
        <v>-0</v>
      </c>
      <c r="V51" s="30" t="n">
        <f aca="false">-V40*$C$18</f>
        <v>-0</v>
      </c>
      <c r="W51" s="30" t="n">
        <f aca="false">-W40*$C$18</f>
        <v>-0</v>
      </c>
      <c r="X51" s="30" t="n">
        <f aca="false">-X40*$C$18</f>
        <v>-0</v>
      </c>
      <c r="Y51" s="30" t="n">
        <f aca="false">-Y40*$C$18</f>
        <v>-0</v>
      </c>
      <c r="Z51" s="30" t="n">
        <f aca="false">-Z40*$C$18</f>
        <v>-0</v>
      </c>
      <c r="AA51" s="30" t="n">
        <f aca="false">-AA40*$C$18</f>
        <v>-0</v>
      </c>
      <c r="AB51" s="30" t="n">
        <f aca="false">-AB40*$C$18</f>
        <v>-0</v>
      </c>
      <c r="AC51" s="30" t="n">
        <f aca="false">-AC40*$C$18</f>
        <v>-0</v>
      </c>
    </row>
    <row r="52" customFormat="false" ht="15" hidden="false" customHeight="true" outlineLevel="0" collapsed="false">
      <c r="B52" s="5" t="s">
        <v>201</v>
      </c>
      <c r="C52" s="13" t="s">
        <v>165</v>
      </c>
      <c r="D52" s="31" t="n">
        <f aca="false">SUM(F52:AC52)</f>
        <v>1717.94610221442</v>
      </c>
      <c r="F52" s="32" t="n">
        <f aca="false">SUM(F48:F51)</f>
        <v>263.486905706332</v>
      </c>
      <c r="G52" s="32" t="n">
        <f aca="false">SUM(G48:G51)</f>
        <v>229.223508998176</v>
      </c>
      <c r="H52" s="32" t="n">
        <f aca="false">SUM(H48:H51)</f>
        <v>194.96011229002</v>
      </c>
      <c r="I52" s="32" t="n">
        <f aca="false">SUM(I48:I51)</f>
        <v>194.96011229002</v>
      </c>
      <c r="J52" s="32" t="n">
        <f aca="false">SUM(J48:J51)</f>
        <v>194.96011229002</v>
      </c>
      <c r="K52" s="32" t="n">
        <f aca="false">SUM(K48:K51)</f>
        <v>194.96011229002</v>
      </c>
      <c r="L52" s="32" t="n">
        <f aca="false">SUM(L48:L51)</f>
        <v>194.96011229002</v>
      </c>
      <c r="M52" s="32" t="n">
        <f aca="false">SUM(M48:M51)</f>
        <v>194.96011229002</v>
      </c>
      <c r="N52" s="32" t="n">
        <f aca="false">SUM(N48:N51)</f>
        <v>55.4750137697967</v>
      </c>
      <c r="O52" s="32" t="n">
        <f aca="false">SUM(O48:O51)</f>
        <v>0</v>
      </c>
      <c r="P52" s="32" t="n">
        <f aca="false">SUM(P48:P51)</f>
        <v>0</v>
      </c>
      <c r="Q52" s="32" t="n">
        <f aca="false">SUM(Q48:Q51)</f>
        <v>0</v>
      </c>
      <c r="R52" s="32" t="n">
        <f aca="false">SUM(R48:R51)</f>
        <v>0</v>
      </c>
      <c r="S52" s="32" t="n">
        <f aca="false">SUM(S48:S51)</f>
        <v>0</v>
      </c>
      <c r="T52" s="32" t="n">
        <f aca="false">SUM(T48:T51)</f>
        <v>0</v>
      </c>
      <c r="U52" s="32" t="n">
        <f aca="false">SUM(U48:U51)</f>
        <v>0</v>
      </c>
      <c r="V52" s="32" t="n">
        <f aca="false">SUM(V48:V51)</f>
        <v>0</v>
      </c>
      <c r="W52" s="32" t="n">
        <f aca="false">SUM(W48:W51)</f>
        <v>0</v>
      </c>
      <c r="X52" s="32" t="n">
        <f aca="false">SUM(X48:X51)</f>
        <v>0</v>
      </c>
      <c r="Y52" s="32" t="n">
        <f aca="false">SUM(Y48:Y51)</f>
        <v>0</v>
      </c>
      <c r="Z52" s="32" t="n">
        <f aca="false">SUM(Z48:Z51)</f>
        <v>0</v>
      </c>
      <c r="AA52" s="32" t="n">
        <f aca="false">SUM(AA48:AA51)</f>
        <v>0</v>
      </c>
      <c r="AB52" s="32" t="n">
        <f aca="false">SUM(AB48:AB51)</f>
        <v>0</v>
      </c>
      <c r="AC52" s="32" t="n">
        <f aca="false">SUM(AC48:AC51)</f>
        <v>0</v>
      </c>
    </row>
    <row r="53" customFormat="false" ht="15" hidden="false" customHeight="true" outlineLevel="0" collapsed="false">
      <c r="B53" s="6" t="s">
        <v>162</v>
      </c>
      <c r="C53" s="13" t="s">
        <v>165</v>
      </c>
      <c r="D53" s="30" t="n">
        <f aca="false">SUM(F53:AC53)</f>
        <v>-225</v>
      </c>
      <c r="F53" s="30" t="n">
        <f aca="false">-IF(F40&gt;0,$C$20,0)</f>
        <v>-25</v>
      </c>
      <c r="G53" s="30" t="n">
        <f aca="false">-IF(G40&gt;0,$C$20,0)</f>
        <v>-25</v>
      </c>
      <c r="H53" s="30" t="n">
        <f aca="false">-IF(H40&gt;0,$C$20,0)</f>
        <v>-25</v>
      </c>
      <c r="I53" s="30" t="n">
        <f aca="false">-IF(I40&gt;0,$C$20,0)</f>
        <v>-25</v>
      </c>
      <c r="J53" s="30" t="n">
        <f aca="false">-IF(J40&gt;0,$C$20,0)</f>
        <v>-25</v>
      </c>
      <c r="K53" s="30" t="n">
        <f aca="false">-IF(K40&gt;0,$C$20,0)</f>
        <v>-25</v>
      </c>
      <c r="L53" s="30" t="n">
        <f aca="false">-IF(L40&gt;0,$C$20,0)</f>
        <v>-25</v>
      </c>
      <c r="M53" s="30" t="n">
        <f aca="false">-IF(M40&gt;0,$C$20,0)</f>
        <v>-25</v>
      </c>
      <c r="N53" s="30" t="n">
        <f aca="false">-IF(N40&gt;0,$C$20,0)</f>
        <v>-25</v>
      </c>
      <c r="O53" s="30" t="n">
        <f aca="false">-IF(O40&gt;0,$C$20,0)</f>
        <v>-0</v>
      </c>
      <c r="P53" s="30" t="n">
        <f aca="false">-IF(P40&gt;0,$C$20,0)</f>
        <v>-0</v>
      </c>
      <c r="Q53" s="30" t="n">
        <f aca="false">-IF(Q40&gt;0,$C$20,0)</f>
        <v>-0</v>
      </c>
      <c r="R53" s="30" t="n">
        <f aca="false">-IF(R40&gt;0,$C$20,0)</f>
        <v>-0</v>
      </c>
      <c r="S53" s="30" t="n">
        <f aca="false">-IF(S40&gt;0,$C$20,0)</f>
        <v>-0</v>
      </c>
      <c r="T53" s="30" t="n">
        <f aca="false">-IF(T40&gt;0,$C$20,0)</f>
        <v>-0</v>
      </c>
      <c r="U53" s="30" t="n">
        <f aca="false">-IF(U40&gt;0,$C$20,0)</f>
        <v>-0</v>
      </c>
      <c r="V53" s="30" t="n">
        <f aca="false">-IF(V40&gt;0,$C$20,0)</f>
        <v>-0</v>
      </c>
      <c r="W53" s="30" t="n">
        <f aca="false">-IF(W40&gt;0,$C$20,0)</f>
        <v>-0</v>
      </c>
      <c r="X53" s="30" t="n">
        <f aca="false">-IF(X40&gt;0,$C$20,0)</f>
        <v>-0</v>
      </c>
      <c r="Y53" s="30" t="n">
        <f aca="false">-IF(Y40&gt;0,$C$20,0)</f>
        <v>-0</v>
      </c>
      <c r="Z53" s="30" t="n">
        <f aca="false">-IF(Z40&gt;0,$C$20,0)</f>
        <v>-0</v>
      </c>
      <c r="AA53" s="30" t="n">
        <f aca="false">-IF(AA40&gt;0,$C$20,0)</f>
        <v>-0</v>
      </c>
      <c r="AB53" s="30" t="n">
        <f aca="false">-IF(AB40&gt;0,$C$20,0)</f>
        <v>-0</v>
      </c>
      <c r="AC53" s="30" t="n">
        <f aca="false">-IF(AC40&gt;0,$C$20,0)</f>
        <v>-0</v>
      </c>
    </row>
    <row r="54" customFormat="false" ht="15" hidden="false" customHeight="true" outlineLevel="0" collapsed="false">
      <c r="B54" s="6" t="s">
        <v>202</v>
      </c>
      <c r="C54" s="13" t="s">
        <v>165</v>
      </c>
      <c r="D54" s="30" t="n">
        <f aca="false">SUM(F54:AC54)</f>
        <v>0</v>
      </c>
      <c r="F54" s="30" t="n">
        <f aca="false">-IF(AND(F$34&gt;=$C$22,F$34&lt;$C$22+$C$23),$C$21/$C$23,0)</f>
        <v>-0</v>
      </c>
      <c r="G54" s="30" t="n">
        <f aca="false">-IF(AND(G$34&gt;=$C$22,G$34&lt;$C$22+$C$23),$C$21/$C$23,0)</f>
        <v>-0</v>
      </c>
      <c r="H54" s="30" t="n">
        <f aca="false">-IF(AND(H$34&gt;=$C$22,H$34&lt;$C$22+$C$23),$C$21/$C$23,0)</f>
        <v>-0</v>
      </c>
      <c r="I54" s="30" t="n">
        <f aca="false">-IF(AND(I$34&gt;=$C$22,I$34&lt;$C$22+$C$23),$C$21/$C$23,0)</f>
        <v>-0</v>
      </c>
      <c r="J54" s="30" t="n">
        <f aca="false">-IF(AND(J$34&gt;=$C$22,J$34&lt;$C$22+$C$23),$C$21/$C$23,0)</f>
        <v>-0</v>
      </c>
      <c r="K54" s="30" t="n">
        <f aca="false">-IF(AND(K$34&gt;=$C$22,K$34&lt;$C$22+$C$23),$C$21/$C$23,0)</f>
        <v>-0</v>
      </c>
      <c r="L54" s="30" t="n">
        <f aca="false">-IF(AND(L$34&gt;=$C$22,L$34&lt;$C$22+$C$23),$C$21/$C$23,0)</f>
        <v>-0</v>
      </c>
      <c r="M54" s="30" t="n">
        <f aca="false">-IF(AND(M$34&gt;=$C$22,M$34&lt;$C$22+$C$23),$C$21/$C$23,0)</f>
        <v>-0</v>
      </c>
      <c r="N54" s="30" t="n">
        <f aca="false">-IF(AND(N$34&gt;=$C$22,N$34&lt;$C$22+$C$23),$C$21/$C$23,0)</f>
        <v>-0</v>
      </c>
      <c r="O54" s="30" t="n">
        <f aca="false">-IF(AND(O$34&gt;=$C$22,O$34&lt;$C$22+$C$23),$C$21/$C$23,0)</f>
        <v>-0</v>
      </c>
      <c r="P54" s="30" t="n">
        <f aca="false">-IF(AND(P$34&gt;=$C$22,P$34&lt;$C$22+$C$23),$C$21/$C$23,0)</f>
        <v>-0</v>
      </c>
      <c r="Q54" s="30" t="n">
        <f aca="false">-IF(AND(Q$34&gt;=$C$22,Q$34&lt;$C$22+$C$23),$C$21/$C$23,0)</f>
        <v>-0</v>
      </c>
      <c r="R54" s="30" t="n">
        <f aca="false">-IF(AND(R$34&gt;=$C$22,R$34&lt;$C$22+$C$23),$C$21/$C$23,0)</f>
        <v>-0</v>
      </c>
      <c r="S54" s="30" t="n">
        <f aca="false">-IF(AND(S$34&gt;=$C$22,S$34&lt;$C$22+$C$23),$C$21/$C$23,0)</f>
        <v>-0</v>
      </c>
      <c r="T54" s="30" t="n">
        <f aca="false">-IF(AND(T$34&gt;=$C$22,T$34&lt;$C$22+$C$23),$C$21/$C$23,0)</f>
        <v>-0</v>
      </c>
      <c r="U54" s="30" t="n">
        <f aca="false">-IF(AND(U$34&gt;=$C$22,U$34&lt;$C$22+$C$23),$C$21/$C$23,0)</f>
        <v>-0</v>
      </c>
      <c r="V54" s="30" t="n">
        <f aca="false">-IF(AND(V$34&gt;=$C$22,V$34&lt;$C$22+$C$23),$C$21/$C$23,0)</f>
        <v>-0</v>
      </c>
      <c r="W54" s="30" t="n">
        <f aca="false">-IF(AND(W$34&gt;=$C$22,W$34&lt;$C$22+$C$23),$C$21/$C$23,0)</f>
        <v>-0</v>
      </c>
      <c r="X54" s="30" t="n">
        <f aca="false">-IF(AND(X$34&gt;=$C$22,X$34&lt;$C$22+$C$23),$C$21/$C$23,0)</f>
        <v>-0</v>
      </c>
      <c r="Y54" s="30" t="n">
        <f aca="false">-IF(AND(Y$34&gt;=$C$22,Y$34&lt;$C$22+$C$23),$C$21/$C$23,0)</f>
        <v>-0</v>
      </c>
      <c r="Z54" s="30" t="n">
        <f aca="false">-IF(AND(Z$34&gt;=$C$22,Z$34&lt;$C$22+$C$23),$C$21/$C$23,0)</f>
        <v>-0</v>
      </c>
      <c r="AA54" s="30" t="n">
        <f aca="false">-IF(AND(AA$34&gt;=$C$22,AA$34&lt;$C$22+$C$23),$C$21/$C$23,0)</f>
        <v>-0</v>
      </c>
      <c r="AB54" s="30" t="n">
        <f aca="false">-IF(AND(AB$34&gt;=$C$22,AB$34&lt;$C$22+$C$23),$C$21/$C$23,0)</f>
        <v>-0</v>
      </c>
      <c r="AC54" s="30" t="n">
        <f aca="false">-IF(AND(AC$34&gt;=$C$22,AC$34&lt;$C$22+$C$23),$C$21/$C$23,0)</f>
        <v>-0</v>
      </c>
    </row>
    <row r="55" customFormat="false" ht="15" hidden="false" customHeight="true" outlineLevel="0" collapsed="false">
      <c r="B55" s="6" t="s">
        <v>203</v>
      </c>
      <c r="C55" s="13" t="s">
        <v>165</v>
      </c>
      <c r="D55" s="30" t="n">
        <f aca="false">SUM(F55:AC55)</f>
        <v>-40</v>
      </c>
      <c r="F55" s="30" t="n">
        <f aca="false">0</f>
        <v>0</v>
      </c>
      <c r="G55" s="30" t="n">
        <f aca="false">-IF(AND(G40=0,F40&gt;0),$C$24,0)</f>
        <v>-0</v>
      </c>
      <c r="H55" s="30" t="n">
        <f aca="false">-IF(AND(H40=0,G40&gt;0),$C$24,0)</f>
        <v>-0</v>
      </c>
      <c r="I55" s="30" t="n">
        <f aca="false">-IF(AND(I40=0,H40&gt;0),$C$24,0)</f>
        <v>-0</v>
      </c>
      <c r="J55" s="30" t="n">
        <f aca="false">-IF(AND(J40=0,I40&gt;0),$C$24,0)</f>
        <v>-0</v>
      </c>
      <c r="K55" s="30" t="n">
        <f aca="false">-IF(AND(K40=0,J40&gt;0),$C$24,0)</f>
        <v>-0</v>
      </c>
      <c r="L55" s="30" t="n">
        <f aca="false">-IF(AND(L40=0,K40&gt;0),$C$24,0)</f>
        <v>-0</v>
      </c>
      <c r="M55" s="30" t="n">
        <f aca="false">-IF(AND(M40=0,L40&gt;0),$C$24,0)</f>
        <v>-0</v>
      </c>
      <c r="N55" s="30" t="n">
        <f aca="false">-IF(AND(N40=0,M40&gt;0),$C$24,0)</f>
        <v>-0</v>
      </c>
      <c r="O55" s="30" t="n">
        <f aca="false">-IF(AND(O40=0,N40&gt;0),$C$24,0)</f>
        <v>-40</v>
      </c>
      <c r="P55" s="30" t="n">
        <f aca="false">-IF(AND(P40=0,O40&gt;0),$C$24,0)</f>
        <v>-0</v>
      </c>
      <c r="Q55" s="30" t="n">
        <f aca="false">-IF(AND(Q40=0,P40&gt;0),$C$24,0)</f>
        <v>-0</v>
      </c>
      <c r="R55" s="30" t="n">
        <f aca="false">-IF(AND(R40=0,Q40&gt;0),$C$24,0)</f>
        <v>-0</v>
      </c>
      <c r="S55" s="30" t="n">
        <f aca="false">-IF(AND(S40=0,R40&gt;0),$C$24,0)</f>
        <v>-0</v>
      </c>
      <c r="T55" s="30" t="n">
        <f aca="false">-IF(AND(T40=0,S40&gt;0),$C$24,0)</f>
        <v>-0</v>
      </c>
      <c r="U55" s="30" t="n">
        <f aca="false">-IF(AND(U40=0,T40&gt;0),$C$24,0)</f>
        <v>-0</v>
      </c>
      <c r="V55" s="30" t="n">
        <f aca="false">-IF(AND(V40=0,U40&gt;0),$C$24,0)</f>
        <v>-0</v>
      </c>
      <c r="W55" s="30" t="n">
        <f aca="false">-IF(AND(W40=0,V40&gt;0),$C$24,0)</f>
        <v>-0</v>
      </c>
      <c r="X55" s="30" t="n">
        <f aca="false">-IF(AND(X40=0,W40&gt;0),$C$24,0)</f>
        <v>-0</v>
      </c>
      <c r="Y55" s="30" t="n">
        <f aca="false">-IF(AND(Y40=0,X40&gt;0),$C$24,0)</f>
        <v>-0</v>
      </c>
      <c r="Z55" s="30" t="n">
        <f aca="false">-IF(AND(Z40=0,Y40&gt;0),$C$24,0)</f>
        <v>-0</v>
      </c>
      <c r="AA55" s="30" t="n">
        <f aca="false">-IF(AND(AA40=0,Z40&gt;0),$C$24,0)</f>
        <v>-0</v>
      </c>
      <c r="AB55" s="30" t="n">
        <f aca="false">-IF(AND(AB40=0,AA40&gt;0),$C$24,0)</f>
        <v>-0</v>
      </c>
      <c r="AC55" s="30" t="n">
        <f aca="false">-IF(AND(AC40=0,AB40&gt;0),$C$24,0)</f>
        <v>-0</v>
      </c>
    </row>
    <row r="56" customFormat="false" ht="15" hidden="false" customHeight="true" outlineLevel="0" collapsed="false">
      <c r="B56" s="6" t="s">
        <v>204</v>
      </c>
      <c r="C56" s="13" t="s">
        <v>165</v>
      </c>
      <c r="D56" s="30" t="n">
        <f aca="false">SUM(F56:AC56)</f>
        <v>-227.6742805877</v>
      </c>
      <c r="F56" s="30" t="n">
        <f aca="false">-MAX(0,(F52+F53+F54)*$C$26)</f>
        <v>-36.3692531202156</v>
      </c>
      <c r="G56" s="30" t="n">
        <f aca="false">-MAX(0,(G52+G53+G54)*$C$26)</f>
        <v>-31.1440851222218</v>
      </c>
      <c r="H56" s="30" t="n">
        <f aca="false">-MAX(0,(H52+H53+H54)*$C$26)</f>
        <v>-25.9189171242281</v>
      </c>
      <c r="I56" s="30" t="n">
        <f aca="false">-MAX(0,(I52+I53+I54)*$C$26)</f>
        <v>-25.9189171242281</v>
      </c>
      <c r="J56" s="30" t="n">
        <f aca="false">-MAX(0,(J52+J53+J54)*$C$26)</f>
        <v>-25.9189171242281</v>
      </c>
      <c r="K56" s="30" t="n">
        <f aca="false">-MAX(0,(K52+K53+K54)*$C$26)</f>
        <v>-25.9189171242281</v>
      </c>
      <c r="L56" s="30" t="n">
        <f aca="false">-MAX(0,(L52+L53+L54)*$C$26)</f>
        <v>-25.9189171242281</v>
      </c>
      <c r="M56" s="30" t="n">
        <f aca="false">-MAX(0,(M52+M53+M54)*$C$26)</f>
        <v>-25.9189171242281</v>
      </c>
      <c r="N56" s="30" t="n">
        <f aca="false">-MAX(0,(N52+N53+N54)*$C$26)</f>
        <v>-4.647439599894</v>
      </c>
      <c r="O56" s="30" t="n">
        <f aca="false">-MAX(0,(O52+O53+O54)*$C$26)</f>
        <v>-0</v>
      </c>
      <c r="P56" s="30" t="n">
        <f aca="false">-MAX(0,(P52+P53+P54)*$C$26)</f>
        <v>-0</v>
      </c>
      <c r="Q56" s="30" t="n">
        <f aca="false">-MAX(0,(Q52+Q53+Q54)*$C$26)</f>
        <v>-0</v>
      </c>
      <c r="R56" s="30" t="n">
        <f aca="false">-MAX(0,(R52+R53+R54)*$C$26)</f>
        <v>-0</v>
      </c>
      <c r="S56" s="30" t="n">
        <f aca="false">-MAX(0,(S52+S53+S54)*$C$26)</f>
        <v>-0</v>
      </c>
      <c r="T56" s="30" t="n">
        <f aca="false">-MAX(0,(T52+T53+T54)*$C$26)</f>
        <v>-0</v>
      </c>
      <c r="U56" s="30" t="n">
        <f aca="false">-MAX(0,(U52+U53+U54)*$C$26)</f>
        <v>-0</v>
      </c>
      <c r="V56" s="30" t="n">
        <f aca="false">-MAX(0,(V52+V53+V54)*$C$26)</f>
        <v>-0</v>
      </c>
      <c r="W56" s="30" t="n">
        <f aca="false">-MAX(0,(W52+W53+W54)*$C$26)</f>
        <v>-0</v>
      </c>
      <c r="X56" s="30" t="n">
        <f aca="false">-MAX(0,(X52+X53+X54)*$C$26)</f>
        <v>-0</v>
      </c>
      <c r="Y56" s="30" t="n">
        <f aca="false">-MAX(0,(Y52+Y53+Y54)*$C$26)</f>
        <v>-0</v>
      </c>
      <c r="Z56" s="30" t="n">
        <f aca="false">-MAX(0,(Z52+Z53+Z54)*$C$26)</f>
        <v>-0</v>
      </c>
      <c r="AA56" s="30" t="n">
        <f aca="false">-MAX(0,(AA52+AA53+AA54)*$C$26)</f>
        <v>-0</v>
      </c>
      <c r="AB56" s="30" t="n">
        <f aca="false">-MAX(0,(AB52+AB53+AB54)*$C$26)</f>
        <v>-0</v>
      </c>
      <c r="AC56" s="30" t="n">
        <f aca="false">-MAX(0,(AC52+AC53+AC54)*$C$26)</f>
        <v>-0</v>
      </c>
    </row>
    <row r="57" customFormat="false" ht="15" hidden="false" customHeight="true" outlineLevel="0" collapsed="false">
      <c r="B57" s="5" t="s">
        <v>205</v>
      </c>
      <c r="C57" s="13" t="s">
        <v>165</v>
      </c>
      <c r="D57" s="31" t="n">
        <f aca="false">SUM(F57:AC57)</f>
        <v>1225.27182162672</v>
      </c>
      <c r="F57" s="32" t="n">
        <f aca="false">SUM(F52:F56)</f>
        <v>202.117652586116</v>
      </c>
      <c r="G57" s="32" t="n">
        <f aca="false">SUM(G52:G56)</f>
        <v>173.079423875954</v>
      </c>
      <c r="H57" s="32" t="n">
        <f aca="false">SUM(H52:H56)</f>
        <v>144.041195165792</v>
      </c>
      <c r="I57" s="32" t="n">
        <f aca="false">SUM(I52:I56)</f>
        <v>144.041195165792</v>
      </c>
      <c r="J57" s="32" t="n">
        <f aca="false">SUM(J52:J56)</f>
        <v>144.041195165792</v>
      </c>
      <c r="K57" s="32" t="n">
        <f aca="false">SUM(K52:K56)</f>
        <v>144.041195165792</v>
      </c>
      <c r="L57" s="32" t="n">
        <f aca="false">SUM(L52:L56)</f>
        <v>144.041195165792</v>
      </c>
      <c r="M57" s="32" t="n">
        <f aca="false">SUM(M52:M56)</f>
        <v>144.041195165792</v>
      </c>
      <c r="N57" s="32" t="n">
        <f aca="false">SUM(N52:N56)</f>
        <v>25.8275741699027</v>
      </c>
      <c r="O57" s="32" t="n">
        <f aca="false">SUM(O52:O56)</f>
        <v>-40</v>
      </c>
      <c r="P57" s="32" t="n">
        <f aca="false">SUM(P52:P56)</f>
        <v>0</v>
      </c>
      <c r="Q57" s="32" t="n">
        <f aca="false">SUM(Q52:Q56)</f>
        <v>0</v>
      </c>
      <c r="R57" s="32" t="n">
        <f aca="false">SUM(R52:R56)</f>
        <v>0</v>
      </c>
      <c r="S57" s="32" t="n">
        <f aca="false">SUM(S52:S56)</f>
        <v>0</v>
      </c>
      <c r="T57" s="32" t="n">
        <f aca="false">SUM(T52:T56)</f>
        <v>0</v>
      </c>
      <c r="U57" s="32" t="n">
        <f aca="false">SUM(U52:U56)</f>
        <v>0</v>
      </c>
      <c r="V57" s="32" t="n">
        <f aca="false">SUM(V52:V56)</f>
        <v>0</v>
      </c>
      <c r="W57" s="32" t="n">
        <f aca="false">SUM(W52:W56)</f>
        <v>0</v>
      </c>
      <c r="X57" s="32" t="n">
        <f aca="false">SUM(X52:X56)</f>
        <v>0</v>
      </c>
      <c r="Y57" s="32" t="n">
        <f aca="false">SUM(Y52:Y56)</f>
        <v>0</v>
      </c>
      <c r="Z57" s="32" t="n">
        <f aca="false">SUM(Z52:Z56)</f>
        <v>0</v>
      </c>
      <c r="AA57" s="32" t="n">
        <f aca="false">SUM(AA52:AA56)</f>
        <v>0</v>
      </c>
      <c r="AB57" s="32" t="n">
        <f aca="false">SUM(AB52:AB56)</f>
        <v>0</v>
      </c>
      <c r="AC57" s="32" t="n">
        <f aca="false">SUM(AC52:AC56)</f>
        <v>0</v>
      </c>
    </row>
    <row r="58" customFormat="false" ht="15" hidden="false" customHeight="true" outlineLevel="0" collapsed="false">
      <c r="B58" s="6" t="s">
        <v>206</v>
      </c>
      <c r="C58" s="13"/>
      <c r="F58" s="33" t="n">
        <f aca="false">1/(1+$C$31)^(F35-0.5)</f>
        <v>0.962250448649376</v>
      </c>
      <c r="G58" s="33" t="n">
        <f aca="false">1/(1+$C$31)^(G35-0.5)</f>
        <v>0.890972637638311</v>
      </c>
      <c r="H58" s="33" t="n">
        <f aca="false">1/(1+$C$31)^(H35-0.5)</f>
        <v>0.824974664479918</v>
      </c>
      <c r="I58" s="33" t="n">
        <f aca="false">1/(1+$C$31)^(I35-0.5)</f>
        <v>0.763865430073998</v>
      </c>
      <c r="J58" s="33" t="n">
        <f aca="false">1/(1+$C$31)^(J35-0.5)</f>
        <v>0.707282805624072</v>
      </c>
      <c r="K58" s="33" t="n">
        <f aca="false">1/(1+$C$31)^(K35-0.5)</f>
        <v>0.654891486688956</v>
      </c>
      <c r="L58" s="33" t="n">
        <f aca="false">1/(1+$C$31)^(L35-0.5)</f>
        <v>0.606381006193477</v>
      </c>
      <c r="M58" s="33" t="n">
        <f aca="false">1/(1+$C$31)^(M35-0.5)</f>
        <v>0.56146389462359</v>
      </c>
      <c r="N58" s="33" t="n">
        <f aca="false">1/(1+$C$31)^(N35-0.5)</f>
        <v>0.519873976503324</v>
      </c>
      <c r="O58" s="33" t="n">
        <f aca="false">1/(1+$C$31)^(O35-0.5)</f>
        <v>0.481364793058633</v>
      </c>
      <c r="P58" s="33" t="n">
        <f aca="false">1/(1+$C$31)^(P35-0.5)</f>
        <v>0.445708141720957</v>
      </c>
      <c r="Q58" s="33" t="n">
        <f aca="false">1/(1+$C$31)^(Q35-0.5)</f>
        <v>0.412692723815701</v>
      </c>
      <c r="R58" s="33" t="n">
        <f aca="false">1/(1+$C$31)^(R35-0.5)</f>
        <v>0.382122892421945</v>
      </c>
      <c r="S58" s="33" t="n">
        <f aca="false">1/(1+$C$31)^(S35-0.5)</f>
        <v>0.353817492983282</v>
      </c>
      <c r="T58" s="33" t="n">
        <f aca="false">1/(1+$C$31)^(T35-0.5)</f>
        <v>0.327608789799336</v>
      </c>
      <c r="U58" s="33" t="n">
        <f aca="false">1/(1+$C$31)^(U35-0.5)</f>
        <v>0.303341472036422</v>
      </c>
      <c r="V58" s="33" t="n">
        <f aca="false">1/(1+$C$31)^(V35-0.5)</f>
        <v>0.280871733367057</v>
      </c>
      <c r="W58" s="33" t="n">
        <f aca="false">1/(1+$C$31)^(W35-0.5)</f>
        <v>0.260066419784312</v>
      </c>
      <c r="X58" s="33" t="n">
        <f aca="false">1/(1+$C$31)^(X35-0.5)</f>
        <v>0.24080224054103</v>
      </c>
      <c r="Y58" s="33" t="n">
        <f aca="false">1/(1+$C$31)^(Y35-0.5)</f>
        <v>0.222965037537991</v>
      </c>
      <c r="Z58" s="33" t="n">
        <f aca="false">1/(1+$C$31)^(Z35-0.5)</f>
        <v>0.206449108831473</v>
      </c>
      <c r="AA58" s="33" t="n">
        <f aca="false">1/(1+$C$31)^(AA35-0.5)</f>
        <v>0.191156582251364</v>
      </c>
      <c r="AB58" s="33" t="n">
        <f aca="false">1/(1+$C$31)^(AB35-0.5)</f>
        <v>0.176996835417929</v>
      </c>
      <c r="AC58" s="33" t="n">
        <f aca="false">1/(1+$C$31)^(AC35-0.5)</f>
        <v>0.163885958720305</v>
      </c>
    </row>
    <row r="59" customFormat="false" ht="15" hidden="false" customHeight="true" outlineLevel="0" collapsed="false">
      <c r="B59" s="5" t="s">
        <v>207</v>
      </c>
      <c r="C59" s="13" t="s">
        <v>165</v>
      </c>
      <c r="D59" s="31" t="n">
        <f aca="false">SUM(F59:AC59)</f>
        <v>936.154739175151</v>
      </c>
      <c r="F59" s="32" t="n">
        <f aca="false">F57*F58</f>
        <v>194.487801880949</v>
      </c>
      <c r="G59" s="32" t="n">
        <f aca="false">G57*G58</f>
        <v>154.209030811678</v>
      </c>
      <c r="H59" s="32" t="n">
        <f aca="false">H57*H58</f>
        <v>118.830336653186</v>
      </c>
      <c r="I59" s="32" t="n">
        <f aca="false">I57*I58</f>
        <v>110.02808949369</v>
      </c>
      <c r="J59" s="32" t="n">
        <f aca="false">J57*J58</f>
        <v>101.877860642306</v>
      </c>
      <c r="K59" s="32" t="n">
        <f aca="false">K57*K58</f>
        <v>94.3313524465795</v>
      </c>
      <c r="L59" s="32" t="n">
        <f aca="false">L57*L58</f>
        <v>87.343844857944</v>
      </c>
      <c r="M59" s="32" t="n">
        <f aca="false">M57*M58</f>
        <v>80.8739304240222</v>
      </c>
      <c r="N59" s="32" t="n">
        <f aca="false">N57*N58</f>
        <v>13.4270836871419</v>
      </c>
      <c r="O59" s="32" t="n">
        <f aca="false">O57*O58</f>
        <v>-19.2545917223453</v>
      </c>
      <c r="P59" s="32" t="n">
        <f aca="false">P57*P58</f>
        <v>0</v>
      </c>
      <c r="Q59" s="32" t="n">
        <f aca="false">Q57*Q58</f>
        <v>0</v>
      </c>
      <c r="R59" s="32" t="n">
        <f aca="false">R57*R58</f>
        <v>0</v>
      </c>
      <c r="S59" s="32" t="n">
        <f aca="false">S57*S58</f>
        <v>0</v>
      </c>
      <c r="T59" s="32" t="n">
        <f aca="false">T57*T58</f>
        <v>0</v>
      </c>
      <c r="U59" s="32" t="n">
        <f aca="false">U57*U58</f>
        <v>0</v>
      </c>
      <c r="V59" s="32" t="n">
        <f aca="false">V57*V58</f>
        <v>0</v>
      </c>
      <c r="W59" s="32" t="n">
        <f aca="false">W57*W58</f>
        <v>0</v>
      </c>
      <c r="X59" s="32" t="n">
        <f aca="false">X57*X58</f>
        <v>0</v>
      </c>
      <c r="Y59" s="32" t="n">
        <f aca="false">Y57*Y58</f>
        <v>0</v>
      </c>
      <c r="Z59" s="32" t="n">
        <f aca="false">Z57*Z58</f>
        <v>0</v>
      </c>
      <c r="AA59" s="32" t="n">
        <f aca="false">AA57*AA58</f>
        <v>0</v>
      </c>
      <c r="AB59" s="32" t="n">
        <f aca="false">AB57*AB58</f>
        <v>0</v>
      </c>
      <c r="AC59" s="32" t="n">
        <f aca="false">AC57*AC58</f>
        <v>0</v>
      </c>
    </row>
    <row r="61" customFormat="false" ht="15" hidden="false" customHeight="true" outlineLevel="0" collapsed="false">
      <c r="B61" s="10" t="s">
        <v>208</v>
      </c>
      <c r="C61" s="11"/>
      <c r="D61" s="11"/>
    </row>
    <row r="62" customFormat="false" ht="15" hidden="false" customHeight="true" outlineLevel="0" collapsed="false">
      <c r="B62" s="5" t="s">
        <v>209</v>
      </c>
      <c r="C62" s="31" t="n">
        <f aca="false">SUM(F59:AC59)</f>
        <v>936.154739175151</v>
      </c>
      <c r="D62" s="13" t="s">
        <v>165</v>
      </c>
    </row>
    <row r="63" customFormat="false" ht="15" hidden="false" customHeight="true" outlineLevel="0" collapsed="false">
      <c r="B63" s="5" t="s">
        <v>210</v>
      </c>
      <c r="C63" s="34" t="n">
        <f aca="false">C62*$C$5</f>
        <v>936.154739175151</v>
      </c>
      <c r="D63" s="13" t="s">
        <v>165</v>
      </c>
    </row>
    <row r="64" customFormat="false" ht="15" hidden="false" customHeight="true" outlineLevel="0" collapsed="false">
      <c r="B64" s="5" t="s">
        <v>211</v>
      </c>
      <c r="C64" s="35" t="n">
        <f aca="false">COUNTIF(F40:AC40,"&gt;0")</f>
        <v>9</v>
      </c>
      <c r="D64" s="13" t="s">
        <v>168</v>
      </c>
    </row>
    <row r="65" customFormat="false" ht="15" hidden="false" customHeight="true" outlineLevel="0" collapsed="false">
      <c r="B65" s="5" t="s">
        <v>212</v>
      </c>
      <c r="C65" s="37" t="n">
        <f aca="false">IFERROR((-(F49+F50+F51+F53)-F47)/F42,0)</f>
        <v>2.58940458263772</v>
      </c>
      <c r="D65" s="13" t="s">
        <v>161</v>
      </c>
    </row>
    <row r="66" customFormat="false" ht="15" hidden="false" customHeight="true" outlineLevel="0" collapsed="false">
      <c r="B66" s="5" t="s">
        <v>214</v>
      </c>
      <c r="C66" s="37" t="n">
        <f aca="false">IFERROR((-(D49+D50+D51+D53)-D47)/D42,0)</f>
        <v>2.60390164120897</v>
      </c>
      <c r="D66" s="13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C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6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3"/>
    <col collapsed="false" customWidth="true" hidden="false" outlineLevel="0" max="29" min="6" style="1" width="9"/>
  </cols>
  <sheetData>
    <row r="1" customFormat="false" ht="17.25" hidden="false" customHeight="true" outlineLevel="0" collapsed="false">
      <c r="B1" s="2" t="s">
        <v>235</v>
      </c>
    </row>
    <row r="2" customFormat="false" ht="15" hidden="false" customHeight="true" outlineLevel="0" collapsed="false">
      <c r="B2" s="3" t="s">
        <v>127</v>
      </c>
    </row>
    <row r="4" customFormat="false" ht="15" hidden="false" customHeight="true" outlineLevel="0" collapsed="false">
      <c r="B4" s="4" t="s">
        <v>128</v>
      </c>
      <c r="C4" s="4" t="s">
        <v>129</v>
      </c>
      <c r="D4" s="4" t="s">
        <v>130</v>
      </c>
      <c r="F4" s="5" t="s">
        <v>131</v>
      </c>
    </row>
    <row r="5" customFormat="false" ht="15" hidden="false" customHeight="true" outlineLevel="0" collapsed="false">
      <c r="B5" s="6" t="s">
        <v>132</v>
      </c>
      <c r="C5" s="23" t="n">
        <v>0.976</v>
      </c>
      <c r="D5" s="13" t="s">
        <v>133</v>
      </c>
      <c r="F5" s="13" t="s">
        <v>236</v>
      </c>
    </row>
    <row r="6" customFormat="false" ht="15" hidden="false" customHeight="true" outlineLevel="0" collapsed="false">
      <c r="B6" s="6" t="s">
        <v>135</v>
      </c>
      <c r="C6" s="15" t="n">
        <v>1.1</v>
      </c>
      <c r="D6" s="13" t="s">
        <v>136</v>
      </c>
      <c r="F6" s="13" t="s">
        <v>237</v>
      </c>
    </row>
    <row r="7" customFormat="false" ht="15" hidden="false" customHeight="true" outlineLevel="0" collapsed="false">
      <c r="B7" s="6" t="s">
        <v>138</v>
      </c>
      <c r="C7" s="15" t="n">
        <v>0.18</v>
      </c>
      <c r="D7" s="13" t="s">
        <v>136</v>
      </c>
      <c r="F7" s="13" t="s">
        <v>238</v>
      </c>
    </row>
    <row r="8" customFormat="false" ht="15" hidden="false" customHeight="true" outlineLevel="0" collapsed="false">
      <c r="B8" s="6" t="s">
        <v>140</v>
      </c>
      <c r="C8" s="25" t="n">
        <v>0</v>
      </c>
      <c r="D8" s="13" t="s">
        <v>141</v>
      </c>
    </row>
    <row r="9" customFormat="false" ht="15" hidden="false" customHeight="true" outlineLevel="0" collapsed="false">
      <c r="B9" s="6" t="s">
        <v>143</v>
      </c>
      <c r="C9" s="12" t="n">
        <v>6.8</v>
      </c>
      <c r="D9" s="13" t="s">
        <v>144</v>
      </c>
    </row>
    <row r="10" customFormat="false" ht="15" hidden="false" customHeight="true" outlineLevel="0" collapsed="false">
      <c r="B10" s="6" t="s">
        <v>146</v>
      </c>
      <c r="C10" s="23" t="n">
        <v>0</v>
      </c>
      <c r="D10" s="13" t="s">
        <v>133</v>
      </c>
    </row>
    <row r="11" customFormat="false" ht="15" hidden="false" customHeight="true" outlineLevel="0" collapsed="false">
      <c r="B11" s="6" t="s">
        <v>148</v>
      </c>
      <c r="C11" s="23" t="n">
        <v>0.92</v>
      </c>
      <c r="D11" s="13" t="s">
        <v>133</v>
      </c>
    </row>
    <row r="12" customFormat="false" ht="15" hidden="false" customHeight="true" outlineLevel="0" collapsed="false">
      <c r="B12" s="6" t="s">
        <v>150</v>
      </c>
      <c r="C12" s="23" t="n">
        <v>0</v>
      </c>
      <c r="D12" s="13" t="s">
        <v>133</v>
      </c>
    </row>
    <row r="13" customFormat="false" ht="15" hidden="false" customHeight="true" outlineLevel="0" collapsed="false">
      <c r="B13" s="6" t="s">
        <v>151</v>
      </c>
      <c r="C13" s="23" t="n">
        <v>0.999</v>
      </c>
      <c r="D13" s="13" t="s">
        <v>133</v>
      </c>
    </row>
    <row r="14" customFormat="false" ht="15" hidden="false" customHeight="true" outlineLevel="0" collapsed="false">
      <c r="B14" s="6" t="s">
        <v>152</v>
      </c>
      <c r="C14" s="12" t="n">
        <v>0.2</v>
      </c>
      <c r="D14" s="13" t="s">
        <v>153</v>
      </c>
    </row>
    <row r="15" customFormat="false" ht="15" hidden="false" customHeight="true" outlineLevel="0" collapsed="false">
      <c r="B15" s="6" t="s">
        <v>154</v>
      </c>
      <c r="C15" s="12" t="n">
        <v>0.2</v>
      </c>
      <c r="D15" s="13" t="s">
        <v>153</v>
      </c>
    </row>
    <row r="16" customFormat="false" ht="15" hidden="false" customHeight="true" outlineLevel="0" collapsed="false">
      <c r="B16" s="6" t="s">
        <v>155</v>
      </c>
      <c r="C16" s="22" t="n">
        <v>2027</v>
      </c>
      <c r="D16" s="13" t="s">
        <v>156</v>
      </c>
    </row>
    <row r="17" customFormat="false" ht="15" hidden="false" customHeight="true" outlineLevel="0" collapsed="false">
      <c r="B17" s="6" t="s">
        <v>157</v>
      </c>
      <c r="C17" s="22" t="n">
        <v>2027</v>
      </c>
      <c r="D17" s="13" t="s">
        <v>156</v>
      </c>
    </row>
    <row r="18" customFormat="false" ht="15" hidden="false" customHeight="true" outlineLevel="0" collapsed="false">
      <c r="B18" s="6" t="s">
        <v>158</v>
      </c>
      <c r="C18" s="12" t="n">
        <v>270</v>
      </c>
      <c r="D18" s="13" t="s">
        <v>159</v>
      </c>
    </row>
    <row r="19" customFormat="false" ht="15" hidden="false" customHeight="true" outlineLevel="0" collapsed="false">
      <c r="B19" s="6" t="s">
        <v>160</v>
      </c>
      <c r="C19" s="12" t="n">
        <v>0</v>
      </c>
      <c r="D19" s="13" t="s">
        <v>161</v>
      </c>
    </row>
    <row r="20" customFormat="false" ht="15" hidden="false" customHeight="true" outlineLevel="0" collapsed="false">
      <c r="B20" s="6" t="s">
        <v>162</v>
      </c>
      <c r="C20" s="24" t="n">
        <v>40</v>
      </c>
      <c r="D20" s="13" t="s">
        <v>163</v>
      </c>
    </row>
    <row r="21" customFormat="false" ht="15" hidden="false" customHeight="true" outlineLevel="0" collapsed="false">
      <c r="B21" s="6" t="s">
        <v>164</v>
      </c>
      <c r="C21" s="24" t="n">
        <v>0</v>
      </c>
      <c r="D21" s="13" t="s">
        <v>165</v>
      </c>
    </row>
    <row r="22" customFormat="false" ht="15" hidden="false" customHeight="true" outlineLevel="0" collapsed="false">
      <c r="B22" s="6" t="s">
        <v>166</v>
      </c>
      <c r="C22" s="22" t="n">
        <v>2027</v>
      </c>
      <c r="D22" s="13" t="s">
        <v>156</v>
      </c>
    </row>
    <row r="23" customFormat="false" ht="15" hidden="false" customHeight="true" outlineLevel="0" collapsed="false">
      <c r="B23" s="6" t="s">
        <v>167</v>
      </c>
      <c r="C23" s="22" t="n">
        <v>1</v>
      </c>
      <c r="D23" s="13" t="s">
        <v>168</v>
      </c>
    </row>
    <row r="24" customFormat="false" ht="15" hidden="false" customHeight="true" outlineLevel="0" collapsed="false">
      <c r="B24" s="6" t="s">
        <v>169</v>
      </c>
      <c r="C24" s="24" t="n">
        <v>15</v>
      </c>
      <c r="D24" s="13" t="s">
        <v>165</v>
      </c>
    </row>
    <row r="25" customFormat="false" ht="15" hidden="false" customHeight="true" outlineLevel="0" collapsed="false">
      <c r="B25" s="6" t="s">
        <v>170</v>
      </c>
      <c r="C25" s="25" t="n">
        <v>0.015</v>
      </c>
      <c r="D25" s="13" t="s">
        <v>171</v>
      </c>
    </row>
    <row r="26" customFormat="false" ht="15" hidden="false" customHeight="true" outlineLevel="0" collapsed="false">
      <c r="B26" s="6" t="s">
        <v>172</v>
      </c>
      <c r="C26" s="23" t="n">
        <v>0.34</v>
      </c>
      <c r="D26" s="13" t="s">
        <v>133</v>
      </c>
    </row>
    <row r="27" customFormat="false" ht="15" hidden="false" customHeight="true" outlineLevel="0" collapsed="false">
      <c r="B27" s="6" t="s">
        <v>173</v>
      </c>
      <c r="C27" s="25" t="n">
        <v>0</v>
      </c>
      <c r="D27" s="13" t="s">
        <v>174</v>
      </c>
    </row>
    <row r="28" customFormat="false" ht="15" hidden="false" customHeight="true" outlineLevel="0" collapsed="false">
      <c r="B28" s="6" t="s">
        <v>175</v>
      </c>
      <c r="C28" s="14" t="n">
        <v>0</v>
      </c>
      <c r="D28" s="13" t="s">
        <v>50</v>
      </c>
    </row>
    <row r="29" customFormat="false" ht="15" hidden="false" customHeight="true" outlineLevel="0" collapsed="false">
      <c r="B29" s="6" t="s">
        <v>176</v>
      </c>
      <c r="C29" s="25" t="n">
        <v>0</v>
      </c>
      <c r="D29" s="13" t="s">
        <v>177</v>
      </c>
    </row>
    <row r="30" customFormat="false" ht="15" hidden="false" customHeight="true" outlineLevel="0" collapsed="false">
      <c r="B30" s="6" t="s">
        <v>178</v>
      </c>
      <c r="C30" s="23" t="n">
        <v>0</v>
      </c>
      <c r="D30" s="13" t="s">
        <v>179</v>
      </c>
    </row>
    <row r="31" customFormat="false" ht="15" hidden="false" customHeight="true" outlineLevel="0" collapsed="false">
      <c r="B31" s="5" t="s">
        <v>66</v>
      </c>
      <c r="C31" s="26" t="n">
        <f aca="false">Inputs!$C$27</f>
        <v>0.05</v>
      </c>
      <c r="D31" s="13" t="s">
        <v>180</v>
      </c>
    </row>
    <row r="34" customFormat="false" ht="15" hidden="false" customHeight="true" outlineLevel="0" collapsed="false">
      <c r="B34" s="4" t="s">
        <v>181</v>
      </c>
      <c r="C34" s="4" t="s">
        <v>130</v>
      </c>
      <c r="D34" s="4" t="s">
        <v>182</v>
      </c>
      <c r="F34" s="4" t="n">
        <v>2027</v>
      </c>
      <c r="G34" s="4" t="n">
        <v>2028</v>
      </c>
      <c r="H34" s="4" t="n">
        <v>2029</v>
      </c>
      <c r="I34" s="4" t="n">
        <v>2030</v>
      </c>
      <c r="J34" s="4" t="n">
        <v>2031</v>
      </c>
      <c r="K34" s="4" t="n">
        <v>2032</v>
      </c>
      <c r="L34" s="4" t="n">
        <v>2033</v>
      </c>
      <c r="M34" s="4" t="n">
        <v>2034</v>
      </c>
      <c r="N34" s="4" t="n">
        <v>2035</v>
      </c>
      <c r="O34" s="4" t="n">
        <v>2036</v>
      </c>
      <c r="P34" s="4" t="n">
        <v>2037</v>
      </c>
      <c r="Q34" s="4" t="n">
        <v>2038</v>
      </c>
      <c r="R34" s="4" t="n">
        <v>2039</v>
      </c>
      <c r="S34" s="4" t="n">
        <v>2040</v>
      </c>
      <c r="T34" s="4" t="n">
        <v>2041</v>
      </c>
      <c r="U34" s="4" t="n">
        <v>2042</v>
      </c>
      <c r="V34" s="4" t="n">
        <v>2043</v>
      </c>
      <c r="W34" s="4" t="n">
        <v>2044</v>
      </c>
      <c r="X34" s="4" t="n">
        <v>2045</v>
      </c>
      <c r="Y34" s="4" t="n">
        <v>2046</v>
      </c>
      <c r="Z34" s="4" t="n">
        <v>2047</v>
      </c>
      <c r="AA34" s="4" t="n">
        <v>2048</v>
      </c>
      <c r="AB34" s="4" t="n">
        <v>2049</v>
      </c>
      <c r="AC34" s="4" t="n">
        <v>2050</v>
      </c>
    </row>
    <row r="35" customFormat="false" ht="15" hidden="false" customHeight="true" outlineLevel="0" collapsed="false">
      <c r="B35" s="6" t="s">
        <v>183</v>
      </c>
      <c r="C35" s="13"/>
      <c r="F35" s="27" t="n">
        <f aca="false">F$34-2027+1</f>
        <v>1</v>
      </c>
      <c r="G35" s="27" t="n">
        <f aca="false">G$34-2027+1</f>
        <v>2</v>
      </c>
      <c r="H35" s="27" t="n">
        <f aca="false">H$34-2027+1</f>
        <v>3</v>
      </c>
      <c r="I35" s="27" t="n">
        <f aca="false">I$34-2027+1</f>
        <v>4</v>
      </c>
      <c r="J35" s="27" t="n">
        <f aca="false">J$34-2027+1</f>
        <v>5</v>
      </c>
      <c r="K35" s="27" t="n">
        <f aca="false">K$34-2027+1</f>
        <v>6</v>
      </c>
      <c r="L35" s="27" t="n">
        <f aca="false">L$34-2027+1</f>
        <v>7</v>
      </c>
      <c r="M35" s="27" t="n">
        <f aca="false">M$34-2027+1</f>
        <v>8</v>
      </c>
      <c r="N35" s="27" t="n">
        <f aca="false">N$34-2027+1</f>
        <v>9</v>
      </c>
      <c r="O35" s="27" t="n">
        <f aca="false">O$34-2027+1</f>
        <v>10</v>
      </c>
      <c r="P35" s="27" t="n">
        <f aca="false">P$34-2027+1</f>
        <v>11</v>
      </c>
      <c r="Q35" s="27" t="n">
        <f aca="false">Q$34-2027+1</f>
        <v>12</v>
      </c>
      <c r="R35" s="27" t="n">
        <f aca="false">R$34-2027+1</f>
        <v>13</v>
      </c>
      <c r="S35" s="27" t="n">
        <f aca="false">S$34-2027+1</f>
        <v>14</v>
      </c>
      <c r="T35" s="27" t="n">
        <f aca="false">T$34-2027+1</f>
        <v>15</v>
      </c>
      <c r="U35" s="27" t="n">
        <f aca="false">U$34-2027+1</f>
        <v>16</v>
      </c>
      <c r="V35" s="27" t="n">
        <f aca="false">V$34-2027+1</f>
        <v>17</v>
      </c>
      <c r="W35" s="27" t="n">
        <f aca="false">W$34-2027+1</f>
        <v>18</v>
      </c>
      <c r="X35" s="27" t="n">
        <f aca="false">X$34-2027+1</f>
        <v>19</v>
      </c>
      <c r="Y35" s="27" t="n">
        <f aca="false">Y$34-2027+1</f>
        <v>20</v>
      </c>
      <c r="Z35" s="27" t="n">
        <f aca="false">Z$34-2027+1</f>
        <v>21</v>
      </c>
      <c r="AA35" s="27" t="n">
        <f aca="false">AA$34-2027+1</f>
        <v>22</v>
      </c>
      <c r="AB35" s="27" t="n">
        <f aca="false">AB$34-2027+1</f>
        <v>23</v>
      </c>
      <c r="AC35" s="27" t="n">
        <f aca="false">AC$34-2027+1</f>
        <v>24</v>
      </c>
    </row>
    <row r="36" customFormat="false" ht="15" hidden="false" customHeight="true" outlineLevel="0" collapsed="false">
      <c r="B36" s="6" t="s">
        <v>184</v>
      </c>
      <c r="C36" s="13" t="s">
        <v>47</v>
      </c>
      <c r="F36" s="28" t="n">
        <f aca="false">Inputs!F$18</f>
        <v>6</v>
      </c>
      <c r="G36" s="28" t="n">
        <f aca="false">Inputs!G$18</f>
        <v>5.5</v>
      </c>
      <c r="H36" s="28" t="n">
        <f aca="false">Inputs!H$18</f>
        <v>5</v>
      </c>
      <c r="I36" s="28" t="n">
        <f aca="false">Inputs!I$18</f>
        <v>5</v>
      </c>
      <c r="J36" s="28" t="n">
        <f aca="false">Inputs!J$18</f>
        <v>5</v>
      </c>
      <c r="K36" s="28" t="n">
        <f aca="false">Inputs!K$18</f>
        <v>5</v>
      </c>
      <c r="L36" s="28" t="n">
        <f aca="false">Inputs!L$18</f>
        <v>5</v>
      </c>
      <c r="M36" s="28" t="n">
        <f aca="false">Inputs!M$18</f>
        <v>5</v>
      </c>
      <c r="N36" s="28" t="n">
        <f aca="false">Inputs!N$18</f>
        <v>5</v>
      </c>
      <c r="O36" s="28" t="n">
        <f aca="false">Inputs!O$18</f>
        <v>5</v>
      </c>
      <c r="P36" s="28" t="n">
        <f aca="false">Inputs!P$18</f>
        <v>5</v>
      </c>
      <c r="Q36" s="28" t="n">
        <f aca="false">Inputs!Q$18</f>
        <v>5</v>
      </c>
      <c r="R36" s="28" t="n">
        <f aca="false">Inputs!R$18</f>
        <v>5</v>
      </c>
      <c r="S36" s="28" t="n">
        <f aca="false">Inputs!S$18</f>
        <v>5</v>
      </c>
      <c r="T36" s="28" t="n">
        <f aca="false">Inputs!T$18</f>
        <v>5</v>
      </c>
      <c r="U36" s="28" t="n">
        <f aca="false">Inputs!U$18</f>
        <v>5</v>
      </c>
      <c r="V36" s="28" t="n">
        <f aca="false">Inputs!V$18</f>
        <v>5</v>
      </c>
      <c r="W36" s="28" t="n">
        <f aca="false">Inputs!W$18</f>
        <v>5</v>
      </c>
      <c r="X36" s="28" t="n">
        <f aca="false">Inputs!X$18</f>
        <v>5</v>
      </c>
      <c r="Y36" s="28" t="n">
        <f aca="false">Inputs!Y$18</f>
        <v>5</v>
      </c>
      <c r="Z36" s="28" t="n">
        <f aca="false">Inputs!Z$18</f>
        <v>5</v>
      </c>
      <c r="AA36" s="28" t="n">
        <f aca="false">Inputs!AA$18</f>
        <v>5</v>
      </c>
      <c r="AB36" s="28" t="n">
        <f aca="false">Inputs!AB$18</f>
        <v>5</v>
      </c>
      <c r="AC36" s="28" t="n">
        <f aca="false">Inputs!AC$18</f>
        <v>5</v>
      </c>
    </row>
    <row r="37" customFormat="false" ht="15" hidden="false" customHeight="true" outlineLevel="0" collapsed="false">
      <c r="B37" s="6" t="s">
        <v>185</v>
      </c>
      <c r="C37" s="13" t="s">
        <v>50</v>
      </c>
      <c r="F37" s="29" t="n">
        <f aca="false">Inputs!F$19</f>
        <v>3900</v>
      </c>
      <c r="G37" s="29" t="n">
        <f aca="false">Inputs!G$19</f>
        <v>3600</v>
      </c>
      <c r="H37" s="29" t="n">
        <f aca="false">Inputs!H$19</f>
        <v>3300</v>
      </c>
      <c r="I37" s="29" t="n">
        <f aca="false">Inputs!I$19</f>
        <v>3300</v>
      </c>
      <c r="J37" s="29" t="n">
        <f aca="false">Inputs!J$19</f>
        <v>3300</v>
      </c>
      <c r="K37" s="29" t="n">
        <f aca="false">Inputs!K$19</f>
        <v>3300</v>
      </c>
      <c r="L37" s="29" t="n">
        <f aca="false">Inputs!L$19</f>
        <v>3300</v>
      </c>
      <c r="M37" s="29" t="n">
        <f aca="false">Inputs!M$19</f>
        <v>3300</v>
      </c>
      <c r="N37" s="29" t="n">
        <f aca="false">Inputs!N$19</f>
        <v>3300</v>
      </c>
      <c r="O37" s="29" t="n">
        <f aca="false">Inputs!O$19</f>
        <v>3300</v>
      </c>
      <c r="P37" s="29" t="n">
        <f aca="false">Inputs!P$19</f>
        <v>3300</v>
      </c>
      <c r="Q37" s="29" t="n">
        <f aca="false">Inputs!Q$19</f>
        <v>3300</v>
      </c>
      <c r="R37" s="29" t="n">
        <f aca="false">Inputs!R$19</f>
        <v>3300</v>
      </c>
      <c r="S37" s="29" t="n">
        <f aca="false">Inputs!S$19</f>
        <v>3300</v>
      </c>
      <c r="T37" s="29" t="n">
        <f aca="false">Inputs!T$19</f>
        <v>3300</v>
      </c>
      <c r="U37" s="29" t="n">
        <f aca="false">Inputs!U$19</f>
        <v>3300</v>
      </c>
      <c r="V37" s="29" t="n">
        <f aca="false">Inputs!V$19</f>
        <v>3300</v>
      </c>
      <c r="W37" s="29" t="n">
        <f aca="false">Inputs!W$19</f>
        <v>3300</v>
      </c>
      <c r="X37" s="29" t="n">
        <f aca="false">Inputs!X$19</f>
        <v>3300</v>
      </c>
      <c r="Y37" s="29" t="n">
        <f aca="false">Inputs!Y$19</f>
        <v>3300</v>
      </c>
      <c r="Z37" s="29" t="n">
        <f aca="false">Inputs!Z$19</f>
        <v>3300</v>
      </c>
      <c r="AA37" s="29" t="n">
        <f aca="false">Inputs!AA$19</f>
        <v>3300</v>
      </c>
      <c r="AB37" s="29" t="n">
        <f aca="false">Inputs!AB$19</f>
        <v>3300</v>
      </c>
      <c r="AC37" s="29" t="n">
        <f aca="false">Inputs!AC$19</f>
        <v>3300</v>
      </c>
    </row>
    <row r="38" customFormat="false" ht="15" hidden="false" customHeight="true" outlineLevel="0" collapsed="false">
      <c r="B38" s="6" t="s">
        <v>186</v>
      </c>
      <c r="C38" s="13" t="s">
        <v>136</v>
      </c>
      <c r="F38" s="19" t="n">
        <f aca="false">IF(F$34&lt;$C$17,0,IF(F$34&gt;=$C$16,$C$15,$C$14))</f>
        <v>0.2</v>
      </c>
      <c r="G38" s="19" t="n">
        <f aca="false">IF(G$34&lt;$C$17,0,IF(G$34&gt;=$C$16,$C$15,$C$14))</f>
        <v>0.2</v>
      </c>
      <c r="H38" s="19" t="n">
        <f aca="false">IF(H$34&lt;$C$17,0,IF(H$34&gt;=$C$16,$C$15,$C$14))</f>
        <v>0.2</v>
      </c>
      <c r="I38" s="19" t="n">
        <f aca="false">IF(I$34&lt;$C$17,0,IF(I$34&gt;=$C$16,$C$15,$C$14))</f>
        <v>0.2</v>
      </c>
      <c r="J38" s="19" t="n">
        <f aca="false">IF(J$34&lt;$C$17,0,IF(J$34&gt;=$C$16,$C$15,$C$14))</f>
        <v>0.2</v>
      </c>
      <c r="K38" s="19" t="n">
        <f aca="false">IF(K$34&lt;$C$17,0,IF(K$34&gt;=$C$16,$C$15,$C$14))</f>
        <v>0.2</v>
      </c>
      <c r="L38" s="19" t="n">
        <f aca="false">IF(L$34&lt;$C$17,0,IF(L$34&gt;=$C$16,$C$15,$C$14))</f>
        <v>0.2</v>
      </c>
      <c r="M38" s="19" t="n">
        <f aca="false">IF(M$34&lt;$C$17,0,IF(M$34&gt;=$C$16,$C$15,$C$14))</f>
        <v>0.2</v>
      </c>
      <c r="N38" s="19" t="n">
        <f aca="false">IF(N$34&lt;$C$17,0,IF(N$34&gt;=$C$16,$C$15,$C$14))</f>
        <v>0.2</v>
      </c>
      <c r="O38" s="19" t="n">
        <f aca="false">IF(O$34&lt;$C$17,0,IF(O$34&gt;=$C$16,$C$15,$C$14))</f>
        <v>0.2</v>
      </c>
      <c r="P38" s="19" t="n">
        <f aca="false">IF(P$34&lt;$C$17,0,IF(P$34&gt;=$C$16,$C$15,$C$14))</f>
        <v>0.2</v>
      </c>
      <c r="Q38" s="19" t="n">
        <f aca="false">IF(Q$34&lt;$C$17,0,IF(Q$34&gt;=$C$16,$C$15,$C$14))</f>
        <v>0.2</v>
      </c>
      <c r="R38" s="19" t="n">
        <f aca="false">IF(R$34&lt;$C$17,0,IF(R$34&gt;=$C$16,$C$15,$C$14))</f>
        <v>0.2</v>
      </c>
      <c r="S38" s="19" t="n">
        <f aca="false">IF(S$34&lt;$C$17,0,IF(S$34&gt;=$C$16,$C$15,$C$14))</f>
        <v>0.2</v>
      </c>
      <c r="T38" s="19" t="n">
        <f aca="false">IF(T$34&lt;$C$17,0,IF(T$34&gt;=$C$16,$C$15,$C$14))</f>
        <v>0.2</v>
      </c>
      <c r="U38" s="19" t="n">
        <f aca="false">IF(U$34&lt;$C$17,0,IF(U$34&gt;=$C$16,$C$15,$C$14))</f>
        <v>0.2</v>
      </c>
      <c r="V38" s="19" t="n">
        <f aca="false">IF(V$34&lt;$C$17,0,IF(V$34&gt;=$C$16,$C$15,$C$14))</f>
        <v>0.2</v>
      </c>
      <c r="W38" s="19" t="n">
        <f aca="false">IF(W$34&lt;$C$17,0,IF(W$34&gt;=$C$16,$C$15,$C$14))</f>
        <v>0.2</v>
      </c>
      <c r="X38" s="19" t="n">
        <f aca="false">IF(X$34&lt;$C$17,0,IF(X$34&gt;=$C$16,$C$15,$C$14))</f>
        <v>0.2</v>
      </c>
      <c r="Y38" s="19" t="n">
        <f aca="false">IF(Y$34&lt;$C$17,0,IF(Y$34&gt;=$C$16,$C$15,$C$14))</f>
        <v>0.2</v>
      </c>
      <c r="Z38" s="19" t="n">
        <f aca="false">IF(Z$34&lt;$C$17,0,IF(Z$34&gt;=$C$16,$C$15,$C$14))</f>
        <v>0.2</v>
      </c>
      <c r="AA38" s="19" t="n">
        <f aca="false">IF(AA$34&lt;$C$17,0,IF(AA$34&gt;=$C$16,$C$15,$C$14))</f>
        <v>0.2</v>
      </c>
      <c r="AB38" s="19" t="n">
        <f aca="false">IF(AB$34&lt;$C$17,0,IF(AB$34&gt;=$C$16,$C$15,$C$14))</f>
        <v>0.2</v>
      </c>
      <c r="AC38" s="19" t="n">
        <f aca="false">IF(AC$34&lt;$C$17,0,IF(AC$34&gt;=$C$16,$C$15,$C$14))</f>
        <v>0.2</v>
      </c>
    </row>
    <row r="39" customFormat="false" ht="15" hidden="false" customHeight="true" outlineLevel="0" collapsed="false">
      <c r="B39" s="6" t="s">
        <v>187</v>
      </c>
      <c r="C39" s="13" t="s">
        <v>136</v>
      </c>
      <c r="F39" s="30" t="n">
        <f aca="false">$C$6-$C$7</f>
        <v>0.92</v>
      </c>
      <c r="G39" s="30" t="n">
        <f aca="false">F41</f>
        <v>0.72</v>
      </c>
      <c r="H39" s="30" t="n">
        <f aca="false">G41</f>
        <v>0.52</v>
      </c>
      <c r="I39" s="30" t="n">
        <f aca="false">H41</f>
        <v>0.32</v>
      </c>
      <c r="J39" s="30" t="n">
        <f aca="false">I41</f>
        <v>0.12</v>
      </c>
      <c r="K39" s="30" t="n">
        <f aca="false">J41</f>
        <v>0</v>
      </c>
      <c r="L39" s="30" t="n">
        <f aca="false">K41</f>
        <v>0</v>
      </c>
      <c r="M39" s="30" t="n">
        <f aca="false">L41</f>
        <v>0</v>
      </c>
      <c r="N39" s="30" t="n">
        <f aca="false">M41</f>
        <v>0</v>
      </c>
      <c r="O39" s="30" t="n">
        <f aca="false">N41</f>
        <v>0</v>
      </c>
      <c r="P39" s="30" t="n">
        <f aca="false">O41</f>
        <v>0</v>
      </c>
      <c r="Q39" s="30" t="n">
        <f aca="false">P41</f>
        <v>0</v>
      </c>
      <c r="R39" s="30" t="n">
        <f aca="false">Q41</f>
        <v>0</v>
      </c>
      <c r="S39" s="30" t="n">
        <f aca="false">R41</f>
        <v>0</v>
      </c>
      <c r="T39" s="30" t="n">
        <f aca="false">S41</f>
        <v>0</v>
      </c>
      <c r="U39" s="30" t="n">
        <f aca="false">T41</f>
        <v>0</v>
      </c>
      <c r="V39" s="30" t="n">
        <f aca="false">U41</f>
        <v>0</v>
      </c>
      <c r="W39" s="30" t="n">
        <f aca="false">V41</f>
        <v>0</v>
      </c>
      <c r="X39" s="30" t="n">
        <f aca="false">W41</f>
        <v>0</v>
      </c>
      <c r="Y39" s="30" t="n">
        <f aca="false">X41</f>
        <v>0</v>
      </c>
      <c r="Z39" s="30" t="n">
        <f aca="false">Y41</f>
        <v>0</v>
      </c>
      <c r="AA39" s="30" t="n">
        <f aca="false">Z41</f>
        <v>0</v>
      </c>
      <c r="AB39" s="30" t="n">
        <f aca="false">AA41</f>
        <v>0</v>
      </c>
      <c r="AC39" s="30" t="n">
        <f aca="false">AB41</f>
        <v>0</v>
      </c>
    </row>
    <row r="40" customFormat="false" ht="15" hidden="false" customHeight="true" outlineLevel="0" collapsed="false">
      <c r="B40" s="6" t="s">
        <v>188</v>
      </c>
      <c r="C40" s="13" t="s">
        <v>136</v>
      </c>
      <c r="D40" s="19" t="n">
        <f aca="false">SUM(F40:AC40)</f>
        <v>0.92</v>
      </c>
      <c r="F40" s="19" t="n">
        <f aca="false">MAX(0,MIN(F38,F39))</f>
        <v>0.2</v>
      </c>
      <c r="G40" s="19" t="n">
        <f aca="false">MAX(0,MIN(G38,G39))</f>
        <v>0.2</v>
      </c>
      <c r="H40" s="19" t="n">
        <f aca="false">MAX(0,MIN(H38,H39))</f>
        <v>0.2</v>
      </c>
      <c r="I40" s="19" t="n">
        <f aca="false">MAX(0,MIN(I38,I39))</f>
        <v>0.2</v>
      </c>
      <c r="J40" s="19" t="n">
        <f aca="false">MAX(0,MIN(J38,J39))</f>
        <v>0.12</v>
      </c>
      <c r="K40" s="19" t="n">
        <f aca="false">MAX(0,MIN(K38,K39))</f>
        <v>0</v>
      </c>
      <c r="L40" s="19" t="n">
        <f aca="false">MAX(0,MIN(L38,L39))</f>
        <v>0</v>
      </c>
      <c r="M40" s="19" t="n">
        <f aca="false">MAX(0,MIN(M38,M39))</f>
        <v>0</v>
      </c>
      <c r="N40" s="19" t="n">
        <f aca="false">MAX(0,MIN(N38,N39))</f>
        <v>0</v>
      </c>
      <c r="O40" s="19" t="n">
        <f aca="false">MAX(0,MIN(O38,O39))</f>
        <v>0</v>
      </c>
      <c r="P40" s="19" t="n">
        <f aca="false">MAX(0,MIN(P38,P39))</f>
        <v>0</v>
      </c>
      <c r="Q40" s="19" t="n">
        <f aca="false">MAX(0,MIN(Q38,Q39))</f>
        <v>0</v>
      </c>
      <c r="R40" s="19" t="n">
        <f aca="false">MAX(0,MIN(R38,R39))</f>
        <v>0</v>
      </c>
      <c r="S40" s="19" t="n">
        <f aca="false">MAX(0,MIN(S38,S39))</f>
        <v>0</v>
      </c>
      <c r="T40" s="19" t="n">
        <f aca="false">MAX(0,MIN(T38,T39))</f>
        <v>0</v>
      </c>
      <c r="U40" s="19" t="n">
        <f aca="false">MAX(0,MIN(U38,U39))</f>
        <v>0</v>
      </c>
      <c r="V40" s="19" t="n">
        <f aca="false">MAX(0,MIN(V38,V39))</f>
        <v>0</v>
      </c>
      <c r="W40" s="19" t="n">
        <f aca="false">MAX(0,MIN(W38,W39))</f>
        <v>0</v>
      </c>
      <c r="X40" s="19" t="n">
        <f aca="false">MAX(0,MIN(X38,X39))</f>
        <v>0</v>
      </c>
      <c r="Y40" s="19" t="n">
        <f aca="false">MAX(0,MIN(Y38,Y39))</f>
        <v>0</v>
      </c>
      <c r="Z40" s="19" t="n">
        <f aca="false">MAX(0,MIN(Z38,Z39))</f>
        <v>0</v>
      </c>
      <c r="AA40" s="19" t="n">
        <f aca="false">MAX(0,MIN(AA38,AA39))</f>
        <v>0</v>
      </c>
      <c r="AB40" s="19" t="n">
        <f aca="false">MAX(0,MIN(AB38,AB39))</f>
        <v>0</v>
      </c>
      <c r="AC40" s="19" t="n">
        <f aca="false">MAX(0,MIN(AC38,AC39))</f>
        <v>0</v>
      </c>
    </row>
    <row r="41" customFormat="false" ht="15" hidden="false" customHeight="true" outlineLevel="0" collapsed="false">
      <c r="B41" s="6" t="s">
        <v>189</v>
      </c>
      <c r="C41" s="13" t="s">
        <v>136</v>
      </c>
      <c r="F41" s="30" t="n">
        <f aca="false">F39-F40</f>
        <v>0.72</v>
      </c>
      <c r="G41" s="30" t="n">
        <f aca="false">G39-G40</f>
        <v>0.52</v>
      </c>
      <c r="H41" s="30" t="n">
        <f aca="false">H39-H40</f>
        <v>0.32</v>
      </c>
      <c r="I41" s="30" t="n">
        <f aca="false">I39-I40</f>
        <v>0.12</v>
      </c>
      <c r="J41" s="30" t="n">
        <f aca="false">J39-J40</f>
        <v>0</v>
      </c>
      <c r="K41" s="30" t="n">
        <f aca="false">K39-K40</f>
        <v>0</v>
      </c>
      <c r="L41" s="30" t="n">
        <f aca="false">L39-L40</f>
        <v>0</v>
      </c>
      <c r="M41" s="30" t="n">
        <f aca="false">M39-M40</f>
        <v>0</v>
      </c>
      <c r="N41" s="30" t="n">
        <f aca="false">N39-N40</f>
        <v>0</v>
      </c>
      <c r="O41" s="30" t="n">
        <f aca="false">O39-O40</f>
        <v>0</v>
      </c>
      <c r="P41" s="30" t="n">
        <f aca="false">P39-P40</f>
        <v>0</v>
      </c>
      <c r="Q41" s="30" t="n">
        <f aca="false">Q39-Q40</f>
        <v>0</v>
      </c>
      <c r="R41" s="30" t="n">
        <f aca="false">R39-R40</f>
        <v>0</v>
      </c>
      <c r="S41" s="30" t="n">
        <f aca="false">S39-S40</f>
        <v>0</v>
      </c>
      <c r="T41" s="30" t="n">
        <f aca="false">T39-T40</f>
        <v>0</v>
      </c>
      <c r="U41" s="30" t="n">
        <f aca="false">U39-U40</f>
        <v>0</v>
      </c>
      <c r="V41" s="30" t="n">
        <f aca="false">V39-V40</f>
        <v>0</v>
      </c>
      <c r="W41" s="30" t="n">
        <f aca="false">W39-W40</f>
        <v>0</v>
      </c>
      <c r="X41" s="30" t="n">
        <f aca="false">X39-X40</f>
        <v>0</v>
      </c>
      <c r="Y41" s="30" t="n">
        <f aca="false">Y39-Y40</f>
        <v>0</v>
      </c>
      <c r="Z41" s="30" t="n">
        <f aca="false">Z39-Z40</f>
        <v>0</v>
      </c>
      <c r="AA41" s="30" t="n">
        <f aca="false">AA39-AA40</f>
        <v>0</v>
      </c>
      <c r="AB41" s="30" t="n">
        <f aca="false">AB39-AB40</f>
        <v>0</v>
      </c>
      <c r="AC41" s="30" t="n">
        <f aca="false">AC39-AC40</f>
        <v>0</v>
      </c>
    </row>
    <row r="42" customFormat="false" ht="15" hidden="false" customHeight="true" outlineLevel="0" collapsed="false">
      <c r="B42" s="6" t="s">
        <v>190</v>
      </c>
      <c r="C42" s="13" t="s">
        <v>191</v>
      </c>
      <c r="D42" s="30" t="n">
        <f aca="false">SUM(F42:AC42)</f>
        <v>0</v>
      </c>
      <c r="F42" s="30" t="n">
        <f aca="false">F40*$C$8*$C$10*$C$12*2204.62</f>
        <v>0</v>
      </c>
      <c r="G42" s="30" t="n">
        <f aca="false">G40*$C$8*$C$10*$C$12*2204.62</f>
        <v>0</v>
      </c>
      <c r="H42" s="30" t="n">
        <f aca="false">H40*$C$8*$C$10*$C$12*2204.62</f>
        <v>0</v>
      </c>
      <c r="I42" s="30" t="n">
        <f aca="false">I40*$C$8*$C$10*$C$12*2204.62</f>
        <v>0</v>
      </c>
      <c r="J42" s="30" t="n">
        <f aca="false">J40*$C$8*$C$10*$C$12*2204.62</f>
        <v>0</v>
      </c>
      <c r="K42" s="30" t="n">
        <f aca="false">K40*$C$8*$C$10*$C$12*2204.62</f>
        <v>0</v>
      </c>
      <c r="L42" s="30" t="n">
        <f aca="false">L40*$C$8*$C$10*$C$12*2204.62</f>
        <v>0</v>
      </c>
      <c r="M42" s="30" t="n">
        <f aca="false">M40*$C$8*$C$10*$C$12*2204.62</f>
        <v>0</v>
      </c>
      <c r="N42" s="30" t="n">
        <f aca="false">N40*$C$8*$C$10*$C$12*2204.62</f>
        <v>0</v>
      </c>
      <c r="O42" s="30" t="n">
        <f aca="false">O40*$C$8*$C$10*$C$12*2204.62</f>
        <v>0</v>
      </c>
      <c r="P42" s="30" t="n">
        <f aca="false">P40*$C$8*$C$10*$C$12*2204.62</f>
        <v>0</v>
      </c>
      <c r="Q42" s="30" t="n">
        <f aca="false">Q40*$C$8*$C$10*$C$12*2204.62</f>
        <v>0</v>
      </c>
      <c r="R42" s="30" t="n">
        <f aca="false">R40*$C$8*$C$10*$C$12*2204.62</f>
        <v>0</v>
      </c>
      <c r="S42" s="30" t="n">
        <f aca="false">S40*$C$8*$C$10*$C$12*2204.62</f>
        <v>0</v>
      </c>
      <c r="T42" s="30" t="n">
        <f aca="false">T40*$C$8*$C$10*$C$12*2204.62</f>
        <v>0</v>
      </c>
      <c r="U42" s="30" t="n">
        <f aca="false">U40*$C$8*$C$10*$C$12*2204.62</f>
        <v>0</v>
      </c>
      <c r="V42" s="30" t="n">
        <f aca="false">V40*$C$8*$C$10*$C$12*2204.62</f>
        <v>0</v>
      </c>
      <c r="W42" s="30" t="n">
        <f aca="false">W40*$C$8*$C$10*$C$12*2204.62</f>
        <v>0</v>
      </c>
      <c r="X42" s="30" t="n">
        <f aca="false">X40*$C$8*$C$10*$C$12*2204.62</f>
        <v>0</v>
      </c>
      <c r="Y42" s="30" t="n">
        <f aca="false">Y40*$C$8*$C$10*$C$12*2204.62</f>
        <v>0</v>
      </c>
      <c r="Z42" s="30" t="n">
        <f aca="false">Z40*$C$8*$C$10*$C$12*2204.62</f>
        <v>0</v>
      </c>
      <c r="AA42" s="30" t="n">
        <f aca="false">AA40*$C$8*$C$10*$C$12*2204.62</f>
        <v>0</v>
      </c>
      <c r="AB42" s="30" t="n">
        <f aca="false">AB40*$C$8*$C$10*$C$12*2204.62</f>
        <v>0</v>
      </c>
      <c r="AC42" s="30" t="n">
        <f aca="false">AC40*$C$8*$C$10*$C$12*2204.62</f>
        <v>0</v>
      </c>
    </row>
    <row r="43" customFormat="false" ht="15" hidden="false" customHeight="true" outlineLevel="0" collapsed="false">
      <c r="B43" s="6" t="s">
        <v>192</v>
      </c>
      <c r="C43" s="13" t="s">
        <v>193</v>
      </c>
      <c r="D43" s="30" t="n">
        <f aca="false">SUM(F43:AC43)</f>
        <v>184.859082739885</v>
      </c>
      <c r="F43" s="30" t="n">
        <f aca="false">F40*$C$9*$C$11*$C$13*1000/31.1035</f>
        <v>40.1867571173662</v>
      </c>
      <c r="G43" s="30" t="n">
        <f aca="false">G40*$C$9*$C$11*$C$13*1000/31.1035</f>
        <v>40.1867571173662</v>
      </c>
      <c r="H43" s="30" t="n">
        <f aca="false">H40*$C$9*$C$11*$C$13*1000/31.1035</f>
        <v>40.1867571173662</v>
      </c>
      <c r="I43" s="30" t="n">
        <f aca="false">I40*$C$9*$C$11*$C$13*1000/31.1035</f>
        <v>40.1867571173662</v>
      </c>
      <c r="J43" s="30" t="n">
        <f aca="false">J40*$C$9*$C$11*$C$13*1000/31.1035</f>
        <v>24.1120542704198</v>
      </c>
      <c r="K43" s="30" t="n">
        <f aca="false">K40*$C$9*$C$11*$C$13*1000/31.1035</f>
        <v>0</v>
      </c>
      <c r="L43" s="30" t="n">
        <f aca="false">L40*$C$9*$C$11*$C$13*1000/31.1035</f>
        <v>0</v>
      </c>
      <c r="M43" s="30" t="n">
        <f aca="false">M40*$C$9*$C$11*$C$13*1000/31.1035</f>
        <v>0</v>
      </c>
      <c r="N43" s="30" t="n">
        <f aca="false">N40*$C$9*$C$11*$C$13*1000/31.1035</f>
        <v>0</v>
      </c>
      <c r="O43" s="30" t="n">
        <f aca="false">O40*$C$9*$C$11*$C$13*1000/31.1035</f>
        <v>0</v>
      </c>
      <c r="P43" s="30" t="n">
        <f aca="false">P40*$C$9*$C$11*$C$13*1000/31.1035</f>
        <v>0</v>
      </c>
      <c r="Q43" s="30" t="n">
        <f aca="false">Q40*$C$9*$C$11*$C$13*1000/31.1035</f>
        <v>0</v>
      </c>
      <c r="R43" s="30" t="n">
        <f aca="false">R40*$C$9*$C$11*$C$13*1000/31.1035</f>
        <v>0</v>
      </c>
      <c r="S43" s="30" t="n">
        <f aca="false">S40*$C$9*$C$11*$C$13*1000/31.1035</f>
        <v>0</v>
      </c>
      <c r="T43" s="30" t="n">
        <f aca="false">T40*$C$9*$C$11*$C$13*1000/31.1035</f>
        <v>0</v>
      </c>
      <c r="U43" s="30" t="n">
        <f aca="false">U40*$C$9*$C$11*$C$13*1000/31.1035</f>
        <v>0</v>
      </c>
      <c r="V43" s="30" t="n">
        <f aca="false">V40*$C$9*$C$11*$C$13*1000/31.1035</f>
        <v>0</v>
      </c>
      <c r="W43" s="30" t="n">
        <f aca="false">W40*$C$9*$C$11*$C$13*1000/31.1035</f>
        <v>0</v>
      </c>
      <c r="X43" s="30" t="n">
        <f aca="false">X40*$C$9*$C$11*$C$13*1000/31.1035</f>
        <v>0</v>
      </c>
      <c r="Y43" s="30" t="n">
        <f aca="false">Y40*$C$9*$C$11*$C$13*1000/31.1035</f>
        <v>0</v>
      </c>
      <c r="Z43" s="30" t="n">
        <f aca="false">Z40*$C$9*$C$11*$C$13*1000/31.1035</f>
        <v>0</v>
      </c>
      <c r="AA43" s="30" t="n">
        <f aca="false">AA40*$C$9*$C$11*$C$13*1000/31.1035</f>
        <v>0</v>
      </c>
      <c r="AB43" s="30" t="n">
        <f aca="false">AB40*$C$9*$C$11*$C$13*1000/31.1035</f>
        <v>0</v>
      </c>
      <c r="AC43" s="30" t="n">
        <f aca="false">AC40*$C$9*$C$11*$C$13*1000/31.1035</f>
        <v>0</v>
      </c>
    </row>
    <row r="44" customFormat="false" ht="15" hidden="false" customHeight="true" outlineLevel="0" collapsed="false">
      <c r="B44" s="6" t="s">
        <v>194</v>
      </c>
      <c r="C44" s="13" t="s">
        <v>47</v>
      </c>
      <c r="F44" s="19" t="n">
        <f aca="false">F36*(1-$C$29)+F36*$C$29*$C$30</f>
        <v>6</v>
      </c>
      <c r="G44" s="19" t="n">
        <f aca="false">G36*(1-$C$29)+G36*$C$29*$C$30</f>
        <v>5.5</v>
      </c>
      <c r="H44" s="19" t="n">
        <f aca="false">H36*(1-$C$29)+H36*$C$29*$C$30</f>
        <v>5</v>
      </c>
      <c r="I44" s="19" t="n">
        <f aca="false">I36*(1-$C$29)+I36*$C$29*$C$30</f>
        <v>5</v>
      </c>
      <c r="J44" s="19" t="n">
        <f aca="false">J36*(1-$C$29)+J36*$C$29*$C$30</f>
        <v>5</v>
      </c>
      <c r="K44" s="19" t="n">
        <f aca="false">K36*(1-$C$29)+K36*$C$29*$C$30</f>
        <v>5</v>
      </c>
      <c r="L44" s="19" t="n">
        <f aca="false">L36*(1-$C$29)+L36*$C$29*$C$30</f>
        <v>5</v>
      </c>
      <c r="M44" s="19" t="n">
        <f aca="false">M36*(1-$C$29)+M36*$C$29*$C$30</f>
        <v>5</v>
      </c>
      <c r="N44" s="19" t="n">
        <f aca="false">N36*(1-$C$29)+N36*$C$29*$C$30</f>
        <v>5</v>
      </c>
      <c r="O44" s="19" t="n">
        <f aca="false">O36*(1-$C$29)+O36*$C$29*$C$30</f>
        <v>5</v>
      </c>
      <c r="P44" s="19" t="n">
        <f aca="false">P36*(1-$C$29)+P36*$C$29*$C$30</f>
        <v>5</v>
      </c>
      <c r="Q44" s="19" t="n">
        <f aca="false">Q36*(1-$C$29)+Q36*$C$29*$C$30</f>
        <v>5</v>
      </c>
      <c r="R44" s="19" t="n">
        <f aca="false">R36*(1-$C$29)+R36*$C$29*$C$30</f>
        <v>5</v>
      </c>
      <c r="S44" s="19" t="n">
        <f aca="false">S36*(1-$C$29)+S36*$C$29*$C$30</f>
        <v>5</v>
      </c>
      <c r="T44" s="19" t="n">
        <f aca="false">T36*(1-$C$29)+T36*$C$29*$C$30</f>
        <v>5</v>
      </c>
      <c r="U44" s="19" t="n">
        <f aca="false">U36*(1-$C$29)+U36*$C$29*$C$30</f>
        <v>5</v>
      </c>
      <c r="V44" s="19" t="n">
        <f aca="false">V36*(1-$C$29)+V36*$C$29*$C$30</f>
        <v>5</v>
      </c>
      <c r="W44" s="19" t="n">
        <f aca="false">W36*(1-$C$29)+W36*$C$29*$C$30</f>
        <v>5</v>
      </c>
      <c r="X44" s="19" t="n">
        <f aca="false">X36*(1-$C$29)+X36*$C$29*$C$30</f>
        <v>5</v>
      </c>
      <c r="Y44" s="19" t="n">
        <f aca="false">Y36*(1-$C$29)+Y36*$C$29*$C$30</f>
        <v>5</v>
      </c>
      <c r="Z44" s="19" t="n">
        <f aca="false">Z36*(1-$C$29)+Z36*$C$29*$C$30</f>
        <v>5</v>
      </c>
      <c r="AA44" s="19" t="n">
        <f aca="false">AA36*(1-$C$29)+AA36*$C$29*$C$30</f>
        <v>5</v>
      </c>
      <c r="AB44" s="19" t="n">
        <f aca="false">AB36*(1-$C$29)+AB36*$C$29*$C$30</f>
        <v>5</v>
      </c>
      <c r="AC44" s="19" t="n">
        <f aca="false">AC36*(1-$C$29)+AC36*$C$29*$C$30</f>
        <v>5</v>
      </c>
    </row>
    <row r="45" customFormat="false" ht="15" hidden="false" customHeight="true" outlineLevel="0" collapsed="false">
      <c r="B45" s="6" t="s">
        <v>195</v>
      </c>
      <c r="C45" s="13" t="s">
        <v>50</v>
      </c>
      <c r="F45" s="20" t="n">
        <f aca="false">F37*(1-$C$27)+$C$27*$C$28</f>
        <v>3900</v>
      </c>
      <c r="G45" s="20" t="n">
        <f aca="false">G37*(1-$C$27)+$C$27*$C$28</f>
        <v>3600</v>
      </c>
      <c r="H45" s="20" t="n">
        <f aca="false">H37*(1-$C$27)+$C$27*$C$28</f>
        <v>3300</v>
      </c>
      <c r="I45" s="20" t="n">
        <f aca="false">I37*(1-$C$27)+$C$27*$C$28</f>
        <v>3300</v>
      </c>
      <c r="J45" s="20" t="n">
        <f aca="false">J37*(1-$C$27)+$C$27*$C$28</f>
        <v>3300</v>
      </c>
      <c r="K45" s="20" t="n">
        <f aca="false">K37*(1-$C$27)+$C$27*$C$28</f>
        <v>3300</v>
      </c>
      <c r="L45" s="20" t="n">
        <f aca="false">L37*(1-$C$27)+$C$27*$C$28</f>
        <v>3300</v>
      </c>
      <c r="M45" s="20" t="n">
        <f aca="false">M37*(1-$C$27)+$C$27*$C$28</f>
        <v>3300</v>
      </c>
      <c r="N45" s="20" t="n">
        <f aca="false">N37*(1-$C$27)+$C$27*$C$28</f>
        <v>3300</v>
      </c>
      <c r="O45" s="20" t="n">
        <f aca="false">O37*(1-$C$27)+$C$27*$C$28</f>
        <v>3300</v>
      </c>
      <c r="P45" s="20" t="n">
        <f aca="false">P37*(1-$C$27)+$C$27*$C$28</f>
        <v>3300</v>
      </c>
      <c r="Q45" s="20" t="n">
        <f aca="false">Q37*(1-$C$27)+$C$27*$C$28</f>
        <v>3300</v>
      </c>
      <c r="R45" s="20" t="n">
        <f aca="false">R37*(1-$C$27)+$C$27*$C$28</f>
        <v>3300</v>
      </c>
      <c r="S45" s="20" t="n">
        <f aca="false">S37*(1-$C$27)+$C$27*$C$28</f>
        <v>3300</v>
      </c>
      <c r="T45" s="20" t="n">
        <f aca="false">T37*(1-$C$27)+$C$27*$C$28</f>
        <v>3300</v>
      </c>
      <c r="U45" s="20" t="n">
        <f aca="false">U37*(1-$C$27)+$C$27*$C$28</f>
        <v>3300</v>
      </c>
      <c r="V45" s="20" t="n">
        <f aca="false">V37*(1-$C$27)+$C$27*$C$28</f>
        <v>3300</v>
      </c>
      <c r="W45" s="20" t="n">
        <f aca="false">W37*(1-$C$27)+$C$27*$C$28</f>
        <v>3300</v>
      </c>
      <c r="X45" s="20" t="n">
        <f aca="false">X37*(1-$C$27)+$C$27*$C$28</f>
        <v>3300</v>
      </c>
      <c r="Y45" s="20" t="n">
        <f aca="false">Y37*(1-$C$27)+$C$27*$C$28</f>
        <v>3300</v>
      </c>
      <c r="Z45" s="20" t="n">
        <f aca="false">Z37*(1-$C$27)+$C$27*$C$28</f>
        <v>3300</v>
      </c>
      <c r="AA45" s="20" t="n">
        <f aca="false">AA37*(1-$C$27)+$C$27*$C$28</f>
        <v>3300</v>
      </c>
      <c r="AB45" s="20" t="n">
        <f aca="false">AB37*(1-$C$27)+$C$27*$C$28</f>
        <v>3300</v>
      </c>
      <c r="AC45" s="20" t="n">
        <f aca="false">AC37*(1-$C$27)+$C$27*$C$28</f>
        <v>3300</v>
      </c>
    </row>
    <row r="46" customFormat="false" ht="15" hidden="false" customHeight="true" outlineLevel="0" collapsed="false">
      <c r="B46" s="6" t="s">
        <v>196</v>
      </c>
      <c r="C46" s="13" t="s">
        <v>165</v>
      </c>
      <c r="D46" s="30" t="n">
        <f aca="false">SUM(F46:AC46)</f>
        <v>0</v>
      </c>
      <c r="F46" s="30" t="n">
        <f aca="false">F42*F44</f>
        <v>0</v>
      </c>
      <c r="G46" s="30" t="n">
        <f aca="false">G42*G44</f>
        <v>0</v>
      </c>
      <c r="H46" s="30" t="n">
        <f aca="false">H42*H44</f>
        <v>0</v>
      </c>
      <c r="I46" s="30" t="n">
        <f aca="false">I42*I44</f>
        <v>0</v>
      </c>
      <c r="J46" s="30" t="n">
        <f aca="false">J42*J44</f>
        <v>0</v>
      </c>
      <c r="K46" s="30" t="n">
        <f aca="false">K42*K44</f>
        <v>0</v>
      </c>
      <c r="L46" s="30" t="n">
        <f aca="false">L42*L44</f>
        <v>0</v>
      </c>
      <c r="M46" s="30" t="n">
        <f aca="false">M42*M44</f>
        <v>0</v>
      </c>
      <c r="N46" s="30" t="n">
        <f aca="false">N42*N44</f>
        <v>0</v>
      </c>
      <c r="O46" s="30" t="n">
        <f aca="false">O42*O44</f>
        <v>0</v>
      </c>
      <c r="P46" s="30" t="n">
        <f aca="false">P42*P44</f>
        <v>0</v>
      </c>
      <c r="Q46" s="30" t="n">
        <f aca="false">Q42*Q44</f>
        <v>0</v>
      </c>
      <c r="R46" s="30" t="n">
        <f aca="false">R42*R44</f>
        <v>0</v>
      </c>
      <c r="S46" s="30" t="n">
        <f aca="false">S42*S44</f>
        <v>0</v>
      </c>
      <c r="T46" s="30" t="n">
        <f aca="false">T42*T44</f>
        <v>0</v>
      </c>
      <c r="U46" s="30" t="n">
        <f aca="false">U42*U44</f>
        <v>0</v>
      </c>
      <c r="V46" s="30" t="n">
        <f aca="false">V42*V44</f>
        <v>0</v>
      </c>
      <c r="W46" s="30" t="n">
        <f aca="false">W42*W44</f>
        <v>0</v>
      </c>
      <c r="X46" s="30" t="n">
        <f aca="false">X42*X44</f>
        <v>0</v>
      </c>
      <c r="Y46" s="30" t="n">
        <f aca="false">Y42*Y44</f>
        <v>0</v>
      </c>
      <c r="Z46" s="30" t="n">
        <f aca="false">Z42*Z44</f>
        <v>0</v>
      </c>
      <c r="AA46" s="30" t="n">
        <f aca="false">AA42*AA44</f>
        <v>0</v>
      </c>
      <c r="AB46" s="30" t="n">
        <f aca="false">AB42*AB44</f>
        <v>0</v>
      </c>
      <c r="AC46" s="30" t="n">
        <f aca="false">AC42*AC44</f>
        <v>0</v>
      </c>
    </row>
    <row r="47" customFormat="false" ht="15" hidden="false" customHeight="true" outlineLevel="0" collapsed="false">
      <c r="B47" s="6" t="s">
        <v>197</v>
      </c>
      <c r="C47" s="13" t="s">
        <v>165</v>
      </c>
      <c r="D47" s="30" t="n">
        <f aca="false">SUM(F47:AC47)</f>
        <v>646.203054447249</v>
      </c>
      <c r="F47" s="30" t="n">
        <f aca="false">F43*F45/1000</f>
        <v>156.728352757728</v>
      </c>
      <c r="G47" s="30" t="n">
        <f aca="false">G43*G45/1000</f>
        <v>144.672325622518</v>
      </c>
      <c r="H47" s="30" t="n">
        <f aca="false">H43*H45/1000</f>
        <v>132.616298487308</v>
      </c>
      <c r="I47" s="30" t="n">
        <f aca="false">I43*I45/1000</f>
        <v>132.616298487308</v>
      </c>
      <c r="J47" s="30" t="n">
        <f aca="false">J43*J45/1000</f>
        <v>79.5697790923853</v>
      </c>
      <c r="K47" s="30" t="n">
        <f aca="false">K43*K45/1000</f>
        <v>0</v>
      </c>
      <c r="L47" s="30" t="n">
        <f aca="false">L43*L45/1000</f>
        <v>0</v>
      </c>
      <c r="M47" s="30" t="n">
        <f aca="false">M43*M45/1000</f>
        <v>0</v>
      </c>
      <c r="N47" s="30" t="n">
        <f aca="false">N43*N45/1000</f>
        <v>0</v>
      </c>
      <c r="O47" s="30" t="n">
        <f aca="false">O43*O45/1000</f>
        <v>0</v>
      </c>
      <c r="P47" s="30" t="n">
        <f aca="false">P43*P45/1000</f>
        <v>0</v>
      </c>
      <c r="Q47" s="30" t="n">
        <f aca="false">Q43*Q45/1000</f>
        <v>0</v>
      </c>
      <c r="R47" s="30" t="n">
        <f aca="false">R43*R45/1000</f>
        <v>0</v>
      </c>
      <c r="S47" s="30" t="n">
        <f aca="false">S43*S45/1000</f>
        <v>0</v>
      </c>
      <c r="T47" s="30" t="n">
        <f aca="false">T43*T45/1000</f>
        <v>0</v>
      </c>
      <c r="U47" s="30" t="n">
        <f aca="false">U43*U45/1000</f>
        <v>0</v>
      </c>
      <c r="V47" s="30" t="n">
        <f aca="false">V43*V45/1000</f>
        <v>0</v>
      </c>
      <c r="W47" s="30" t="n">
        <f aca="false">W43*W45/1000</f>
        <v>0</v>
      </c>
      <c r="X47" s="30" t="n">
        <f aca="false">X43*X45/1000</f>
        <v>0</v>
      </c>
      <c r="Y47" s="30" t="n">
        <f aca="false">Y43*Y45/1000</f>
        <v>0</v>
      </c>
      <c r="Z47" s="30" t="n">
        <f aca="false">Z43*Z45/1000</f>
        <v>0</v>
      </c>
      <c r="AA47" s="30" t="n">
        <f aca="false">AA43*AA45/1000</f>
        <v>0</v>
      </c>
      <c r="AB47" s="30" t="n">
        <f aca="false">AB43*AB45/1000</f>
        <v>0</v>
      </c>
      <c r="AC47" s="30" t="n">
        <f aca="false">AC43*AC45/1000</f>
        <v>0</v>
      </c>
    </row>
    <row r="48" customFormat="false" ht="15" hidden="false" customHeight="true" outlineLevel="0" collapsed="false">
      <c r="B48" s="5" t="s">
        <v>198</v>
      </c>
      <c r="C48" s="13" t="s">
        <v>165</v>
      </c>
      <c r="D48" s="31" t="n">
        <f aca="false">SUM(F48:AC48)</f>
        <v>646.203054447249</v>
      </c>
      <c r="F48" s="32" t="n">
        <f aca="false">F46+F47</f>
        <v>156.728352757728</v>
      </c>
      <c r="G48" s="32" t="n">
        <f aca="false">G46+G47</f>
        <v>144.672325622518</v>
      </c>
      <c r="H48" s="32" t="n">
        <f aca="false">H46+H47</f>
        <v>132.616298487308</v>
      </c>
      <c r="I48" s="32" t="n">
        <f aca="false">I46+I47</f>
        <v>132.616298487308</v>
      </c>
      <c r="J48" s="32" t="n">
        <f aca="false">J46+J47</f>
        <v>79.5697790923853</v>
      </c>
      <c r="K48" s="32" t="n">
        <f aca="false">K46+K47</f>
        <v>0</v>
      </c>
      <c r="L48" s="32" t="n">
        <f aca="false">L46+L47</f>
        <v>0</v>
      </c>
      <c r="M48" s="32" t="n">
        <f aca="false">M46+M47</f>
        <v>0</v>
      </c>
      <c r="N48" s="32" t="n">
        <f aca="false">N46+N47</f>
        <v>0</v>
      </c>
      <c r="O48" s="32" t="n">
        <f aca="false">O46+O47</f>
        <v>0</v>
      </c>
      <c r="P48" s="32" t="n">
        <f aca="false">P46+P47</f>
        <v>0</v>
      </c>
      <c r="Q48" s="32" t="n">
        <f aca="false">Q46+Q47</f>
        <v>0</v>
      </c>
      <c r="R48" s="32" t="n">
        <f aca="false">R46+R47</f>
        <v>0</v>
      </c>
      <c r="S48" s="32" t="n">
        <f aca="false">S46+S47</f>
        <v>0</v>
      </c>
      <c r="T48" s="32" t="n">
        <f aca="false">T46+T47</f>
        <v>0</v>
      </c>
      <c r="U48" s="32" t="n">
        <f aca="false">U46+U47</f>
        <v>0</v>
      </c>
      <c r="V48" s="32" t="n">
        <f aca="false">V46+V47</f>
        <v>0</v>
      </c>
      <c r="W48" s="32" t="n">
        <f aca="false">W46+W47</f>
        <v>0</v>
      </c>
      <c r="X48" s="32" t="n">
        <f aca="false">X46+X47</f>
        <v>0</v>
      </c>
      <c r="Y48" s="32" t="n">
        <f aca="false">Y46+Y47</f>
        <v>0</v>
      </c>
      <c r="Z48" s="32" t="n">
        <f aca="false">Z46+Z47</f>
        <v>0</v>
      </c>
      <c r="AA48" s="32" t="n">
        <f aca="false">AA46+AA47</f>
        <v>0</v>
      </c>
      <c r="AB48" s="32" t="n">
        <f aca="false">AB46+AB47</f>
        <v>0</v>
      </c>
      <c r="AC48" s="32" t="n">
        <f aca="false">AC46+AC47</f>
        <v>0</v>
      </c>
    </row>
    <row r="49" customFormat="false" ht="15" hidden="false" customHeight="true" outlineLevel="0" collapsed="false">
      <c r="B49" s="6" t="s">
        <v>160</v>
      </c>
      <c r="C49" s="13" t="s">
        <v>165</v>
      </c>
      <c r="D49" s="30" t="n">
        <f aca="false">SUM(F49:AC49)</f>
        <v>0</v>
      </c>
      <c r="F49" s="30" t="n">
        <f aca="false">-F42*$C$19</f>
        <v>-0</v>
      </c>
      <c r="G49" s="30" t="n">
        <f aca="false">-G42*$C$19</f>
        <v>-0</v>
      </c>
      <c r="H49" s="30" t="n">
        <f aca="false">-H42*$C$19</f>
        <v>-0</v>
      </c>
      <c r="I49" s="30" t="n">
        <f aca="false">-I42*$C$19</f>
        <v>-0</v>
      </c>
      <c r="J49" s="30" t="n">
        <f aca="false">-J42*$C$19</f>
        <v>-0</v>
      </c>
      <c r="K49" s="30" t="n">
        <f aca="false">-K42*$C$19</f>
        <v>-0</v>
      </c>
      <c r="L49" s="30" t="n">
        <f aca="false">-L42*$C$19</f>
        <v>-0</v>
      </c>
      <c r="M49" s="30" t="n">
        <f aca="false">-M42*$C$19</f>
        <v>-0</v>
      </c>
      <c r="N49" s="30" t="n">
        <f aca="false">-N42*$C$19</f>
        <v>-0</v>
      </c>
      <c r="O49" s="30" t="n">
        <f aca="false">-O42*$C$19</f>
        <v>-0</v>
      </c>
      <c r="P49" s="30" t="n">
        <f aca="false">-P42*$C$19</f>
        <v>-0</v>
      </c>
      <c r="Q49" s="30" t="n">
        <f aca="false">-Q42*$C$19</f>
        <v>-0</v>
      </c>
      <c r="R49" s="30" t="n">
        <f aca="false">-R42*$C$19</f>
        <v>-0</v>
      </c>
      <c r="S49" s="30" t="n">
        <f aca="false">-S42*$C$19</f>
        <v>-0</v>
      </c>
      <c r="T49" s="30" t="n">
        <f aca="false">-T42*$C$19</f>
        <v>-0</v>
      </c>
      <c r="U49" s="30" t="n">
        <f aca="false">-U42*$C$19</f>
        <v>-0</v>
      </c>
      <c r="V49" s="30" t="n">
        <f aca="false">-V42*$C$19</f>
        <v>-0</v>
      </c>
      <c r="W49" s="30" t="n">
        <f aca="false">-W42*$C$19</f>
        <v>-0</v>
      </c>
      <c r="X49" s="30" t="n">
        <f aca="false">-X42*$C$19</f>
        <v>-0</v>
      </c>
      <c r="Y49" s="30" t="n">
        <f aca="false">-Y42*$C$19</f>
        <v>-0</v>
      </c>
      <c r="Z49" s="30" t="n">
        <f aca="false">-Z42*$C$19</f>
        <v>-0</v>
      </c>
      <c r="AA49" s="30" t="n">
        <f aca="false">-AA42*$C$19</f>
        <v>-0</v>
      </c>
      <c r="AB49" s="30" t="n">
        <f aca="false">-AB42*$C$19</f>
        <v>-0</v>
      </c>
      <c r="AC49" s="30" t="n">
        <f aca="false">-AC42*$C$19</f>
        <v>-0</v>
      </c>
    </row>
    <row r="50" customFormat="false" ht="15" hidden="false" customHeight="true" outlineLevel="0" collapsed="false">
      <c r="B50" s="6" t="s">
        <v>199</v>
      </c>
      <c r="C50" s="13" t="s">
        <v>165</v>
      </c>
      <c r="D50" s="30" t="n">
        <f aca="false">SUM(F50:AC50)</f>
        <v>-9.69304581670873</v>
      </c>
      <c r="F50" s="30" t="n">
        <f aca="false">-F48*$C$25</f>
        <v>-2.35092529136592</v>
      </c>
      <c r="G50" s="30" t="n">
        <f aca="false">-G48*$C$25</f>
        <v>-2.17008488433778</v>
      </c>
      <c r="H50" s="30" t="n">
        <f aca="false">-H48*$C$25</f>
        <v>-1.98924447730963</v>
      </c>
      <c r="I50" s="30" t="n">
        <f aca="false">-I48*$C$25</f>
        <v>-1.98924447730963</v>
      </c>
      <c r="J50" s="30" t="n">
        <f aca="false">-J48*$C$25</f>
        <v>-1.19354668638578</v>
      </c>
      <c r="K50" s="30" t="n">
        <f aca="false">-K48*$C$25</f>
        <v>-0</v>
      </c>
      <c r="L50" s="30" t="n">
        <f aca="false">-L48*$C$25</f>
        <v>-0</v>
      </c>
      <c r="M50" s="30" t="n">
        <f aca="false">-M48*$C$25</f>
        <v>-0</v>
      </c>
      <c r="N50" s="30" t="n">
        <f aca="false">-N48*$C$25</f>
        <v>-0</v>
      </c>
      <c r="O50" s="30" t="n">
        <f aca="false">-O48*$C$25</f>
        <v>-0</v>
      </c>
      <c r="P50" s="30" t="n">
        <f aca="false">-P48*$C$25</f>
        <v>-0</v>
      </c>
      <c r="Q50" s="30" t="n">
        <f aca="false">-Q48*$C$25</f>
        <v>-0</v>
      </c>
      <c r="R50" s="30" t="n">
        <f aca="false">-R48*$C$25</f>
        <v>-0</v>
      </c>
      <c r="S50" s="30" t="n">
        <f aca="false">-S48*$C$25</f>
        <v>-0</v>
      </c>
      <c r="T50" s="30" t="n">
        <f aca="false">-T48*$C$25</f>
        <v>-0</v>
      </c>
      <c r="U50" s="30" t="n">
        <f aca="false">-U48*$C$25</f>
        <v>-0</v>
      </c>
      <c r="V50" s="30" t="n">
        <f aca="false">-V48*$C$25</f>
        <v>-0</v>
      </c>
      <c r="W50" s="30" t="n">
        <f aca="false">-W48*$C$25</f>
        <v>-0</v>
      </c>
      <c r="X50" s="30" t="n">
        <f aca="false">-X48*$C$25</f>
        <v>-0</v>
      </c>
      <c r="Y50" s="30" t="n">
        <f aca="false">-Y48*$C$25</f>
        <v>-0</v>
      </c>
      <c r="Z50" s="30" t="n">
        <f aca="false">-Z48*$C$25</f>
        <v>-0</v>
      </c>
      <c r="AA50" s="30" t="n">
        <f aca="false">-AA48*$C$25</f>
        <v>-0</v>
      </c>
      <c r="AB50" s="30" t="n">
        <f aca="false">-AB48*$C$25</f>
        <v>-0</v>
      </c>
      <c r="AC50" s="30" t="n">
        <f aca="false">-AC48*$C$25</f>
        <v>-0</v>
      </c>
    </row>
    <row r="51" customFormat="false" ht="15" hidden="false" customHeight="true" outlineLevel="0" collapsed="false">
      <c r="B51" s="6" t="s">
        <v>200</v>
      </c>
      <c r="C51" s="13" t="s">
        <v>165</v>
      </c>
      <c r="D51" s="30" t="n">
        <f aca="false">SUM(F51:AC51)</f>
        <v>-248.4</v>
      </c>
      <c r="F51" s="30" t="n">
        <f aca="false">-F40*$C$18</f>
        <v>-54</v>
      </c>
      <c r="G51" s="30" t="n">
        <f aca="false">-G40*$C$18</f>
        <v>-54</v>
      </c>
      <c r="H51" s="30" t="n">
        <f aca="false">-H40*$C$18</f>
        <v>-54</v>
      </c>
      <c r="I51" s="30" t="n">
        <f aca="false">-I40*$C$18</f>
        <v>-54</v>
      </c>
      <c r="J51" s="30" t="n">
        <f aca="false">-J40*$C$18</f>
        <v>-32.4000000000001</v>
      </c>
      <c r="K51" s="30" t="n">
        <f aca="false">-K40*$C$18</f>
        <v>-0</v>
      </c>
      <c r="L51" s="30" t="n">
        <f aca="false">-L40*$C$18</f>
        <v>-0</v>
      </c>
      <c r="M51" s="30" t="n">
        <f aca="false">-M40*$C$18</f>
        <v>-0</v>
      </c>
      <c r="N51" s="30" t="n">
        <f aca="false">-N40*$C$18</f>
        <v>-0</v>
      </c>
      <c r="O51" s="30" t="n">
        <f aca="false">-O40*$C$18</f>
        <v>-0</v>
      </c>
      <c r="P51" s="30" t="n">
        <f aca="false">-P40*$C$18</f>
        <v>-0</v>
      </c>
      <c r="Q51" s="30" t="n">
        <f aca="false">-Q40*$C$18</f>
        <v>-0</v>
      </c>
      <c r="R51" s="30" t="n">
        <f aca="false">-R40*$C$18</f>
        <v>-0</v>
      </c>
      <c r="S51" s="30" t="n">
        <f aca="false">-S40*$C$18</f>
        <v>-0</v>
      </c>
      <c r="T51" s="30" t="n">
        <f aca="false">-T40*$C$18</f>
        <v>-0</v>
      </c>
      <c r="U51" s="30" t="n">
        <f aca="false">-U40*$C$18</f>
        <v>-0</v>
      </c>
      <c r="V51" s="30" t="n">
        <f aca="false">-V40*$C$18</f>
        <v>-0</v>
      </c>
      <c r="W51" s="30" t="n">
        <f aca="false">-W40*$C$18</f>
        <v>-0</v>
      </c>
      <c r="X51" s="30" t="n">
        <f aca="false">-X40*$C$18</f>
        <v>-0</v>
      </c>
      <c r="Y51" s="30" t="n">
        <f aca="false">-Y40*$C$18</f>
        <v>-0</v>
      </c>
      <c r="Z51" s="30" t="n">
        <f aca="false">-Z40*$C$18</f>
        <v>-0</v>
      </c>
      <c r="AA51" s="30" t="n">
        <f aca="false">-AA40*$C$18</f>
        <v>-0</v>
      </c>
      <c r="AB51" s="30" t="n">
        <f aca="false">-AB40*$C$18</f>
        <v>-0</v>
      </c>
      <c r="AC51" s="30" t="n">
        <f aca="false">-AC40*$C$18</f>
        <v>-0</v>
      </c>
    </row>
    <row r="52" customFormat="false" ht="15" hidden="false" customHeight="true" outlineLevel="0" collapsed="false">
      <c r="B52" s="5" t="s">
        <v>201</v>
      </c>
      <c r="C52" s="13" t="s">
        <v>165</v>
      </c>
      <c r="D52" s="31" t="n">
        <f aca="false">SUM(F52:AC52)</f>
        <v>388.11000863054</v>
      </c>
      <c r="F52" s="32" t="n">
        <f aca="false">SUM(F48:F51)</f>
        <v>100.377427466362</v>
      </c>
      <c r="G52" s="32" t="n">
        <f aca="false">SUM(G48:G51)</f>
        <v>88.5022407381806</v>
      </c>
      <c r="H52" s="32" t="n">
        <f aca="false">SUM(H48:H51)</f>
        <v>76.6270540099989</v>
      </c>
      <c r="I52" s="32" t="n">
        <f aca="false">SUM(I48:I51)</f>
        <v>76.6270540099989</v>
      </c>
      <c r="J52" s="32" t="n">
        <f aca="false">SUM(J48:J51)</f>
        <v>45.9762324059994</v>
      </c>
      <c r="K52" s="32" t="n">
        <f aca="false">SUM(K48:K51)</f>
        <v>0</v>
      </c>
      <c r="L52" s="32" t="n">
        <f aca="false">SUM(L48:L51)</f>
        <v>0</v>
      </c>
      <c r="M52" s="32" t="n">
        <f aca="false">SUM(M48:M51)</f>
        <v>0</v>
      </c>
      <c r="N52" s="32" t="n">
        <f aca="false">SUM(N48:N51)</f>
        <v>0</v>
      </c>
      <c r="O52" s="32" t="n">
        <f aca="false">SUM(O48:O51)</f>
        <v>0</v>
      </c>
      <c r="P52" s="32" t="n">
        <f aca="false">SUM(P48:P51)</f>
        <v>0</v>
      </c>
      <c r="Q52" s="32" t="n">
        <f aca="false">SUM(Q48:Q51)</f>
        <v>0</v>
      </c>
      <c r="R52" s="32" t="n">
        <f aca="false">SUM(R48:R51)</f>
        <v>0</v>
      </c>
      <c r="S52" s="32" t="n">
        <f aca="false">SUM(S48:S51)</f>
        <v>0</v>
      </c>
      <c r="T52" s="32" t="n">
        <f aca="false">SUM(T48:T51)</f>
        <v>0</v>
      </c>
      <c r="U52" s="32" t="n">
        <f aca="false">SUM(U48:U51)</f>
        <v>0</v>
      </c>
      <c r="V52" s="32" t="n">
        <f aca="false">SUM(V48:V51)</f>
        <v>0</v>
      </c>
      <c r="W52" s="32" t="n">
        <f aca="false">SUM(W48:W51)</f>
        <v>0</v>
      </c>
      <c r="X52" s="32" t="n">
        <f aca="false">SUM(X48:X51)</f>
        <v>0</v>
      </c>
      <c r="Y52" s="32" t="n">
        <f aca="false">SUM(Y48:Y51)</f>
        <v>0</v>
      </c>
      <c r="Z52" s="32" t="n">
        <f aca="false">SUM(Z48:Z51)</f>
        <v>0</v>
      </c>
      <c r="AA52" s="32" t="n">
        <f aca="false">SUM(AA48:AA51)</f>
        <v>0</v>
      </c>
      <c r="AB52" s="32" t="n">
        <f aca="false">SUM(AB48:AB51)</f>
        <v>0</v>
      </c>
      <c r="AC52" s="32" t="n">
        <f aca="false">SUM(AC48:AC51)</f>
        <v>0</v>
      </c>
    </row>
    <row r="53" customFormat="false" ht="15" hidden="false" customHeight="true" outlineLevel="0" collapsed="false">
      <c r="B53" s="6" t="s">
        <v>162</v>
      </c>
      <c r="C53" s="13" t="s">
        <v>165</v>
      </c>
      <c r="D53" s="30" t="n">
        <f aca="false">SUM(F53:AC53)</f>
        <v>-200</v>
      </c>
      <c r="F53" s="30" t="n">
        <f aca="false">-IF(F40&gt;0,$C$20,0)</f>
        <v>-40</v>
      </c>
      <c r="G53" s="30" t="n">
        <f aca="false">-IF(G40&gt;0,$C$20,0)</f>
        <v>-40</v>
      </c>
      <c r="H53" s="30" t="n">
        <f aca="false">-IF(H40&gt;0,$C$20,0)</f>
        <v>-40</v>
      </c>
      <c r="I53" s="30" t="n">
        <f aca="false">-IF(I40&gt;0,$C$20,0)</f>
        <v>-40</v>
      </c>
      <c r="J53" s="30" t="n">
        <f aca="false">-IF(J40&gt;0,$C$20,0)</f>
        <v>-40</v>
      </c>
      <c r="K53" s="30" t="n">
        <f aca="false">-IF(K40&gt;0,$C$20,0)</f>
        <v>-0</v>
      </c>
      <c r="L53" s="30" t="n">
        <f aca="false">-IF(L40&gt;0,$C$20,0)</f>
        <v>-0</v>
      </c>
      <c r="M53" s="30" t="n">
        <f aca="false">-IF(M40&gt;0,$C$20,0)</f>
        <v>-0</v>
      </c>
      <c r="N53" s="30" t="n">
        <f aca="false">-IF(N40&gt;0,$C$20,0)</f>
        <v>-0</v>
      </c>
      <c r="O53" s="30" t="n">
        <f aca="false">-IF(O40&gt;0,$C$20,0)</f>
        <v>-0</v>
      </c>
      <c r="P53" s="30" t="n">
        <f aca="false">-IF(P40&gt;0,$C$20,0)</f>
        <v>-0</v>
      </c>
      <c r="Q53" s="30" t="n">
        <f aca="false">-IF(Q40&gt;0,$C$20,0)</f>
        <v>-0</v>
      </c>
      <c r="R53" s="30" t="n">
        <f aca="false">-IF(R40&gt;0,$C$20,0)</f>
        <v>-0</v>
      </c>
      <c r="S53" s="30" t="n">
        <f aca="false">-IF(S40&gt;0,$C$20,0)</f>
        <v>-0</v>
      </c>
      <c r="T53" s="30" t="n">
        <f aca="false">-IF(T40&gt;0,$C$20,0)</f>
        <v>-0</v>
      </c>
      <c r="U53" s="30" t="n">
        <f aca="false">-IF(U40&gt;0,$C$20,0)</f>
        <v>-0</v>
      </c>
      <c r="V53" s="30" t="n">
        <f aca="false">-IF(V40&gt;0,$C$20,0)</f>
        <v>-0</v>
      </c>
      <c r="W53" s="30" t="n">
        <f aca="false">-IF(W40&gt;0,$C$20,0)</f>
        <v>-0</v>
      </c>
      <c r="X53" s="30" t="n">
        <f aca="false">-IF(X40&gt;0,$C$20,0)</f>
        <v>-0</v>
      </c>
      <c r="Y53" s="30" t="n">
        <f aca="false">-IF(Y40&gt;0,$C$20,0)</f>
        <v>-0</v>
      </c>
      <c r="Z53" s="30" t="n">
        <f aca="false">-IF(Z40&gt;0,$C$20,0)</f>
        <v>-0</v>
      </c>
      <c r="AA53" s="30" t="n">
        <f aca="false">-IF(AA40&gt;0,$C$20,0)</f>
        <v>-0</v>
      </c>
      <c r="AB53" s="30" t="n">
        <f aca="false">-IF(AB40&gt;0,$C$20,0)</f>
        <v>-0</v>
      </c>
      <c r="AC53" s="30" t="n">
        <f aca="false">-IF(AC40&gt;0,$C$20,0)</f>
        <v>-0</v>
      </c>
    </row>
    <row r="54" customFormat="false" ht="15" hidden="false" customHeight="true" outlineLevel="0" collapsed="false">
      <c r="B54" s="6" t="s">
        <v>202</v>
      </c>
      <c r="C54" s="13" t="s">
        <v>165</v>
      </c>
      <c r="D54" s="30" t="n">
        <f aca="false">SUM(F54:AC54)</f>
        <v>0</v>
      </c>
      <c r="F54" s="30" t="n">
        <f aca="false">-IF(AND(F$34&gt;=$C$22,F$34&lt;$C$22+$C$23),$C$21/$C$23,0)</f>
        <v>-0</v>
      </c>
      <c r="G54" s="30" t="n">
        <f aca="false">-IF(AND(G$34&gt;=$C$22,G$34&lt;$C$22+$C$23),$C$21/$C$23,0)</f>
        <v>-0</v>
      </c>
      <c r="H54" s="30" t="n">
        <f aca="false">-IF(AND(H$34&gt;=$C$22,H$34&lt;$C$22+$C$23),$C$21/$C$23,0)</f>
        <v>-0</v>
      </c>
      <c r="I54" s="30" t="n">
        <f aca="false">-IF(AND(I$34&gt;=$C$22,I$34&lt;$C$22+$C$23),$C$21/$C$23,0)</f>
        <v>-0</v>
      </c>
      <c r="J54" s="30" t="n">
        <f aca="false">-IF(AND(J$34&gt;=$C$22,J$34&lt;$C$22+$C$23),$C$21/$C$23,0)</f>
        <v>-0</v>
      </c>
      <c r="K54" s="30" t="n">
        <f aca="false">-IF(AND(K$34&gt;=$C$22,K$34&lt;$C$22+$C$23),$C$21/$C$23,0)</f>
        <v>-0</v>
      </c>
      <c r="L54" s="30" t="n">
        <f aca="false">-IF(AND(L$34&gt;=$C$22,L$34&lt;$C$22+$C$23),$C$21/$C$23,0)</f>
        <v>-0</v>
      </c>
      <c r="M54" s="30" t="n">
        <f aca="false">-IF(AND(M$34&gt;=$C$22,M$34&lt;$C$22+$C$23),$C$21/$C$23,0)</f>
        <v>-0</v>
      </c>
      <c r="N54" s="30" t="n">
        <f aca="false">-IF(AND(N$34&gt;=$C$22,N$34&lt;$C$22+$C$23),$C$21/$C$23,0)</f>
        <v>-0</v>
      </c>
      <c r="O54" s="30" t="n">
        <f aca="false">-IF(AND(O$34&gt;=$C$22,O$34&lt;$C$22+$C$23),$C$21/$C$23,0)</f>
        <v>-0</v>
      </c>
      <c r="P54" s="30" t="n">
        <f aca="false">-IF(AND(P$34&gt;=$C$22,P$34&lt;$C$22+$C$23),$C$21/$C$23,0)</f>
        <v>-0</v>
      </c>
      <c r="Q54" s="30" t="n">
        <f aca="false">-IF(AND(Q$34&gt;=$C$22,Q$34&lt;$C$22+$C$23),$C$21/$C$23,0)</f>
        <v>-0</v>
      </c>
      <c r="R54" s="30" t="n">
        <f aca="false">-IF(AND(R$34&gt;=$C$22,R$34&lt;$C$22+$C$23),$C$21/$C$23,0)</f>
        <v>-0</v>
      </c>
      <c r="S54" s="30" t="n">
        <f aca="false">-IF(AND(S$34&gt;=$C$22,S$34&lt;$C$22+$C$23),$C$21/$C$23,0)</f>
        <v>-0</v>
      </c>
      <c r="T54" s="30" t="n">
        <f aca="false">-IF(AND(T$34&gt;=$C$22,T$34&lt;$C$22+$C$23),$C$21/$C$23,0)</f>
        <v>-0</v>
      </c>
      <c r="U54" s="30" t="n">
        <f aca="false">-IF(AND(U$34&gt;=$C$22,U$34&lt;$C$22+$C$23),$C$21/$C$23,0)</f>
        <v>-0</v>
      </c>
      <c r="V54" s="30" t="n">
        <f aca="false">-IF(AND(V$34&gt;=$C$22,V$34&lt;$C$22+$C$23),$C$21/$C$23,0)</f>
        <v>-0</v>
      </c>
      <c r="W54" s="30" t="n">
        <f aca="false">-IF(AND(W$34&gt;=$C$22,W$34&lt;$C$22+$C$23),$C$21/$C$23,0)</f>
        <v>-0</v>
      </c>
      <c r="X54" s="30" t="n">
        <f aca="false">-IF(AND(X$34&gt;=$C$22,X$34&lt;$C$22+$C$23),$C$21/$C$23,0)</f>
        <v>-0</v>
      </c>
      <c r="Y54" s="30" t="n">
        <f aca="false">-IF(AND(Y$34&gt;=$C$22,Y$34&lt;$C$22+$C$23),$C$21/$C$23,0)</f>
        <v>-0</v>
      </c>
      <c r="Z54" s="30" t="n">
        <f aca="false">-IF(AND(Z$34&gt;=$C$22,Z$34&lt;$C$22+$C$23),$C$21/$C$23,0)</f>
        <v>-0</v>
      </c>
      <c r="AA54" s="30" t="n">
        <f aca="false">-IF(AND(AA$34&gt;=$C$22,AA$34&lt;$C$22+$C$23),$C$21/$C$23,0)</f>
        <v>-0</v>
      </c>
      <c r="AB54" s="30" t="n">
        <f aca="false">-IF(AND(AB$34&gt;=$C$22,AB$34&lt;$C$22+$C$23),$C$21/$C$23,0)</f>
        <v>-0</v>
      </c>
      <c r="AC54" s="30" t="n">
        <f aca="false">-IF(AND(AC$34&gt;=$C$22,AC$34&lt;$C$22+$C$23),$C$21/$C$23,0)</f>
        <v>-0</v>
      </c>
    </row>
    <row r="55" customFormat="false" ht="15" hidden="false" customHeight="true" outlineLevel="0" collapsed="false">
      <c r="B55" s="6" t="s">
        <v>203</v>
      </c>
      <c r="C55" s="13" t="s">
        <v>165</v>
      </c>
      <c r="D55" s="30" t="n">
        <f aca="false">SUM(F55:AC55)</f>
        <v>-15</v>
      </c>
      <c r="F55" s="30" t="n">
        <f aca="false">0</f>
        <v>0</v>
      </c>
      <c r="G55" s="30" t="n">
        <f aca="false">-IF(AND(G40=0,F40&gt;0),$C$24,0)</f>
        <v>-0</v>
      </c>
      <c r="H55" s="30" t="n">
        <f aca="false">-IF(AND(H40=0,G40&gt;0),$C$24,0)</f>
        <v>-0</v>
      </c>
      <c r="I55" s="30" t="n">
        <f aca="false">-IF(AND(I40=0,H40&gt;0),$C$24,0)</f>
        <v>-0</v>
      </c>
      <c r="J55" s="30" t="n">
        <f aca="false">-IF(AND(J40=0,I40&gt;0),$C$24,0)</f>
        <v>-0</v>
      </c>
      <c r="K55" s="30" t="n">
        <f aca="false">-IF(AND(K40=0,J40&gt;0),$C$24,0)</f>
        <v>-15</v>
      </c>
      <c r="L55" s="30" t="n">
        <f aca="false">-IF(AND(L40=0,K40&gt;0),$C$24,0)</f>
        <v>-0</v>
      </c>
      <c r="M55" s="30" t="n">
        <f aca="false">-IF(AND(M40=0,L40&gt;0),$C$24,0)</f>
        <v>-0</v>
      </c>
      <c r="N55" s="30" t="n">
        <f aca="false">-IF(AND(N40=0,M40&gt;0),$C$24,0)</f>
        <v>-0</v>
      </c>
      <c r="O55" s="30" t="n">
        <f aca="false">-IF(AND(O40=0,N40&gt;0),$C$24,0)</f>
        <v>-0</v>
      </c>
      <c r="P55" s="30" t="n">
        <f aca="false">-IF(AND(P40=0,O40&gt;0),$C$24,0)</f>
        <v>-0</v>
      </c>
      <c r="Q55" s="30" t="n">
        <f aca="false">-IF(AND(Q40=0,P40&gt;0),$C$24,0)</f>
        <v>-0</v>
      </c>
      <c r="R55" s="30" t="n">
        <f aca="false">-IF(AND(R40=0,Q40&gt;0),$C$24,0)</f>
        <v>-0</v>
      </c>
      <c r="S55" s="30" t="n">
        <f aca="false">-IF(AND(S40=0,R40&gt;0),$C$24,0)</f>
        <v>-0</v>
      </c>
      <c r="T55" s="30" t="n">
        <f aca="false">-IF(AND(T40=0,S40&gt;0),$C$24,0)</f>
        <v>-0</v>
      </c>
      <c r="U55" s="30" t="n">
        <f aca="false">-IF(AND(U40=0,T40&gt;0),$C$24,0)</f>
        <v>-0</v>
      </c>
      <c r="V55" s="30" t="n">
        <f aca="false">-IF(AND(V40=0,U40&gt;0),$C$24,0)</f>
        <v>-0</v>
      </c>
      <c r="W55" s="30" t="n">
        <f aca="false">-IF(AND(W40=0,V40&gt;0),$C$24,0)</f>
        <v>-0</v>
      </c>
      <c r="X55" s="30" t="n">
        <f aca="false">-IF(AND(X40=0,W40&gt;0),$C$24,0)</f>
        <v>-0</v>
      </c>
      <c r="Y55" s="30" t="n">
        <f aca="false">-IF(AND(Y40=0,X40&gt;0),$C$24,0)</f>
        <v>-0</v>
      </c>
      <c r="Z55" s="30" t="n">
        <f aca="false">-IF(AND(Z40=0,Y40&gt;0),$C$24,0)</f>
        <v>-0</v>
      </c>
      <c r="AA55" s="30" t="n">
        <f aca="false">-IF(AND(AA40=0,Z40&gt;0),$C$24,0)</f>
        <v>-0</v>
      </c>
      <c r="AB55" s="30" t="n">
        <f aca="false">-IF(AND(AB40=0,AA40&gt;0),$C$24,0)</f>
        <v>-0</v>
      </c>
      <c r="AC55" s="30" t="n">
        <f aca="false">-IF(AND(AC40=0,AB40&gt;0),$C$24,0)</f>
        <v>-0</v>
      </c>
    </row>
    <row r="56" customFormat="false" ht="15" hidden="false" customHeight="true" outlineLevel="0" collapsed="false">
      <c r="B56" s="6" t="s">
        <v>204</v>
      </c>
      <c r="C56" s="13" t="s">
        <v>165</v>
      </c>
      <c r="D56" s="30" t="n">
        <f aca="false">SUM(F56:AC56)</f>
        <v>-63.9574029343836</v>
      </c>
      <c r="F56" s="30" t="n">
        <f aca="false">-MAX(0,(F52+F53+F54)*$C$26)</f>
        <v>-20.5283253385632</v>
      </c>
      <c r="G56" s="30" t="n">
        <f aca="false">-MAX(0,(G52+G53+G54)*$C$26)</f>
        <v>-16.4907618509814</v>
      </c>
      <c r="H56" s="30" t="n">
        <f aca="false">-MAX(0,(H52+H53+H54)*$C$26)</f>
        <v>-12.4531983633996</v>
      </c>
      <c r="I56" s="30" t="n">
        <f aca="false">-MAX(0,(I52+I53+I54)*$C$26)</f>
        <v>-12.4531983633996</v>
      </c>
      <c r="J56" s="30" t="n">
        <f aca="false">-MAX(0,(J52+J53+J54)*$C$26)</f>
        <v>-2.0319190180398</v>
      </c>
      <c r="K56" s="30" t="n">
        <f aca="false">-MAX(0,(K52+K53+K54)*$C$26)</f>
        <v>-0</v>
      </c>
      <c r="L56" s="30" t="n">
        <f aca="false">-MAX(0,(L52+L53+L54)*$C$26)</f>
        <v>-0</v>
      </c>
      <c r="M56" s="30" t="n">
        <f aca="false">-MAX(0,(M52+M53+M54)*$C$26)</f>
        <v>-0</v>
      </c>
      <c r="N56" s="30" t="n">
        <f aca="false">-MAX(0,(N52+N53+N54)*$C$26)</f>
        <v>-0</v>
      </c>
      <c r="O56" s="30" t="n">
        <f aca="false">-MAX(0,(O52+O53+O54)*$C$26)</f>
        <v>-0</v>
      </c>
      <c r="P56" s="30" t="n">
        <f aca="false">-MAX(0,(P52+P53+P54)*$C$26)</f>
        <v>-0</v>
      </c>
      <c r="Q56" s="30" t="n">
        <f aca="false">-MAX(0,(Q52+Q53+Q54)*$C$26)</f>
        <v>-0</v>
      </c>
      <c r="R56" s="30" t="n">
        <f aca="false">-MAX(0,(R52+R53+R54)*$C$26)</f>
        <v>-0</v>
      </c>
      <c r="S56" s="30" t="n">
        <f aca="false">-MAX(0,(S52+S53+S54)*$C$26)</f>
        <v>-0</v>
      </c>
      <c r="T56" s="30" t="n">
        <f aca="false">-MAX(0,(T52+T53+T54)*$C$26)</f>
        <v>-0</v>
      </c>
      <c r="U56" s="30" t="n">
        <f aca="false">-MAX(0,(U52+U53+U54)*$C$26)</f>
        <v>-0</v>
      </c>
      <c r="V56" s="30" t="n">
        <f aca="false">-MAX(0,(V52+V53+V54)*$C$26)</f>
        <v>-0</v>
      </c>
      <c r="W56" s="30" t="n">
        <f aca="false">-MAX(0,(W52+W53+W54)*$C$26)</f>
        <v>-0</v>
      </c>
      <c r="X56" s="30" t="n">
        <f aca="false">-MAX(0,(X52+X53+X54)*$C$26)</f>
        <v>-0</v>
      </c>
      <c r="Y56" s="30" t="n">
        <f aca="false">-MAX(0,(Y52+Y53+Y54)*$C$26)</f>
        <v>-0</v>
      </c>
      <c r="Z56" s="30" t="n">
        <f aca="false">-MAX(0,(Z52+Z53+Z54)*$C$26)</f>
        <v>-0</v>
      </c>
      <c r="AA56" s="30" t="n">
        <f aca="false">-MAX(0,(AA52+AA53+AA54)*$C$26)</f>
        <v>-0</v>
      </c>
      <c r="AB56" s="30" t="n">
        <f aca="false">-MAX(0,(AB52+AB53+AB54)*$C$26)</f>
        <v>-0</v>
      </c>
      <c r="AC56" s="30" t="n">
        <f aca="false">-MAX(0,(AC52+AC53+AC54)*$C$26)</f>
        <v>-0</v>
      </c>
    </row>
    <row r="57" customFormat="false" ht="15" hidden="false" customHeight="true" outlineLevel="0" collapsed="false">
      <c r="B57" s="5" t="s">
        <v>205</v>
      </c>
      <c r="C57" s="13" t="s">
        <v>165</v>
      </c>
      <c r="D57" s="31" t="n">
        <f aca="false">SUM(F57:AC57)</f>
        <v>109.152605696156</v>
      </c>
      <c r="F57" s="32" t="n">
        <f aca="false">SUM(F52:F56)</f>
        <v>39.8491021277991</v>
      </c>
      <c r="G57" s="32" t="n">
        <f aca="false">SUM(G52:G56)</f>
        <v>32.0114788871992</v>
      </c>
      <c r="H57" s="32" t="n">
        <f aca="false">SUM(H52:H56)</f>
        <v>24.1738556465992</v>
      </c>
      <c r="I57" s="32" t="n">
        <f aca="false">SUM(I52:I56)</f>
        <v>24.1738556465992</v>
      </c>
      <c r="J57" s="32" t="n">
        <f aca="false">SUM(J52:J56)</f>
        <v>3.94431338795961</v>
      </c>
      <c r="K57" s="32" t="n">
        <f aca="false">SUM(K52:K56)</f>
        <v>-15</v>
      </c>
      <c r="L57" s="32" t="n">
        <f aca="false">SUM(L52:L56)</f>
        <v>0</v>
      </c>
      <c r="M57" s="32" t="n">
        <f aca="false">SUM(M52:M56)</f>
        <v>0</v>
      </c>
      <c r="N57" s="32" t="n">
        <f aca="false">SUM(N52:N56)</f>
        <v>0</v>
      </c>
      <c r="O57" s="32" t="n">
        <f aca="false">SUM(O52:O56)</f>
        <v>0</v>
      </c>
      <c r="P57" s="32" t="n">
        <f aca="false">SUM(P52:P56)</f>
        <v>0</v>
      </c>
      <c r="Q57" s="32" t="n">
        <f aca="false">SUM(Q52:Q56)</f>
        <v>0</v>
      </c>
      <c r="R57" s="32" t="n">
        <f aca="false">SUM(R52:R56)</f>
        <v>0</v>
      </c>
      <c r="S57" s="32" t="n">
        <f aca="false">SUM(S52:S56)</f>
        <v>0</v>
      </c>
      <c r="T57" s="32" t="n">
        <f aca="false">SUM(T52:T56)</f>
        <v>0</v>
      </c>
      <c r="U57" s="32" t="n">
        <f aca="false">SUM(U52:U56)</f>
        <v>0</v>
      </c>
      <c r="V57" s="32" t="n">
        <f aca="false">SUM(V52:V56)</f>
        <v>0</v>
      </c>
      <c r="W57" s="32" t="n">
        <f aca="false">SUM(W52:W56)</f>
        <v>0</v>
      </c>
      <c r="X57" s="32" t="n">
        <f aca="false">SUM(X52:X56)</f>
        <v>0</v>
      </c>
      <c r="Y57" s="32" t="n">
        <f aca="false">SUM(Y52:Y56)</f>
        <v>0</v>
      </c>
      <c r="Z57" s="32" t="n">
        <f aca="false">SUM(Z52:Z56)</f>
        <v>0</v>
      </c>
      <c r="AA57" s="32" t="n">
        <f aca="false">SUM(AA52:AA56)</f>
        <v>0</v>
      </c>
      <c r="AB57" s="32" t="n">
        <f aca="false">SUM(AB52:AB56)</f>
        <v>0</v>
      </c>
      <c r="AC57" s="32" t="n">
        <f aca="false">SUM(AC52:AC56)</f>
        <v>0</v>
      </c>
    </row>
    <row r="58" customFormat="false" ht="15" hidden="false" customHeight="true" outlineLevel="0" collapsed="false">
      <c r="B58" s="6" t="s">
        <v>206</v>
      </c>
      <c r="C58" s="13"/>
      <c r="F58" s="33" t="n">
        <f aca="false">1/(1+$C$31)^(F35-0.5)</f>
        <v>0.975900072948533</v>
      </c>
      <c r="G58" s="33" t="n">
        <f aca="false">1/(1+$C$31)^(G35-0.5)</f>
        <v>0.929428640903365</v>
      </c>
      <c r="H58" s="33" t="n">
        <f aca="false">1/(1+$C$31)^(H35-0.5)</f>
        <v>0.885170134193681</v>
      </c>
      <c r="I58" s="33" t="n">
        <f aca="false">1/(1+$C$31)^(I35-0.5)</f>
        <v>0.843019175422553</v>
      </c>
      <c r="J58" s="33" t="n">
        <f aca="false">1/(1+$C$31)^(J35-0.5)</f>
        <v>0.802875405164336</v>
      </c>
      <c r="K58" s="33" t="n">
        <f aca="false">1/(1+$C$31)^(K35-0.5)</f>
        <v>0.764643243013654</v>
      </c>
      <c r="L58" s="33" t="n">
        <f aca="false">1/(1+$C$31)^(L35-0.5)</f>
        <v>0.728231660013003</v>
      </c>
      <c r="M58" s="33" t="n">
        <f aca="false">1/(1+$C$31)^(M35-0.5)</f>
        <v>0.693553961917146</v>
      </c>
      <c r="N58" s="33" t="n">
        <f aca="false">1/(1+$C$31)^(N35-0.5)</f>
        <v>0.660527582778234</v>
      </c>
      <c r="O58" s="33" t="n">
        <f aca="false">1/(1+$C$31)^(O35-0.5)</f>
        <v>0.629073888360223</v>
      </c>
      <c r="P58" s="33" t="n">
        <f aca="false">1/(1+$C$31)^(P35-0.5)</f>
        <v>0.599117988914498</v>
      </c>
      <c r="Q58" s="33" t="n">
        <f aca="false">1/(1+$C$31)^(Q35-0.5)</f>
        <v>0.570588560870951</v>
      </c>
      <c r="R58" s="33" t="n">
        <f aca="false">1/(1+$C$31)^(R35-0.5)</f>
        <v>0.543417677019953</v>
      </c>
      <c r="S58" s="33" t="n">
        <f aca="false">1/(1+$C$31)^(S35-0.5)</f>
        <v>0.517540644780908</v>
      </c>
      <c r="T58" s="33" t="n">
        <f aca="false">1/(1+$C$31)^(T35-0.5)</f>
        <v>0.492895852172293</v>
      </c>
      <c r="U58" s="33" t="n">
        <f aca="false">1/(1+$C$31)^(U35-0.5)</f>
        <v>0.469424621116469</v>
      </c>
      <c r="V58" s="33" t="n">
        <f aca="false">1/(1+$C$31)^(V35-0.5)</f>
        <v>0.447071067729971</v>
      </c>
      <c r="W58" s="33" t="n">
        <f aca="false">1/(1+$C$31)^(W35-0.5)</f>
        <v>0.425781969266639</v>
      </c>
      <c r="X58" s="33" t="n">
        <f aca="false">1/(1+$C$31)^(X35-0.5)</f>
        <v>0.405506637396799</v>
      </c>
      <c r="Y58" s="33" t="n">
        <f aca="false">1/(1+$C$31)^(Y35-0.5)</f>
        <v>0.386196797520761</v>
      </c>
      <c r="Z58" s="33" t="n">
        <f aca="false">1/(1+$C$31)^(Z35-0.5)</f>
        <v>0.367806473829296</v>
      </c>
      <c r="AA58" s="33" t="n">
        <f aca="false">1/(1+$C$31)^(AA35-0.5)</f>
        <v>0.350291879837425</v>
      </c>
      <c r="AB58" s="33" t="n">
        <f aca="false">1/(1+$C$31)^(AB35-0.5)</f>
        <v>0.333611314130881</v>
      </c>
      <c r="AC58" s="33" t="n">
        <f aca="false">1/(1+$C$31)^(AC35-0.5)</f>
        <v>0.317725061077029</v>
      </c>
    </row>
    <row r="59" customFormat="false" ht="15" hidden="false" customHeight="true" outlineLevel="0" collapsed="false">
      <c r="B59" s="5" t="s">
        <v>207</v>
      </c>
      <c r="C59" s="13" t="s">
        <v>165</v>
      </c>
      <c r="D59" s="31" t="n">
        <f aca="false">SUM(F59:AC59)</f>
        <v>102.115269453796</v>
      </c>
      <c r="F59" s="32" t="n">
        <f aca="false">F57*F58</f>
        <v>38.8887416734527</v>
      </c>
      <c r="G59" s="32" t="n">
        <f aca="false">G57*G58</f>
        <v>29.7523853154363</v>
      </c>
      <c r="H59" s="32" t="n">
        <f aca="false">H57*H58</f>
        <v>21.3979750466789</v>
      </c>
      <c r="I59" s="32" t="n">
        <f aca="false">I57*I58</f>
        <v>20.3790238539799</v>
      </c>
      <c r="J59" s="32" t="n">
        <f aca="false">J57*J58</f>
        <v>3.16679220945319</v>
      </c>
      <c r="K59" s="32" t="n">
        <f aca="false">K57*K58</f>
        <v>-11.4696486452048</v>
      </c>
      <c r="L59" s="32" t="n">
        <f aca="false">L57*L58</f>
        <v>0</v>
      </c>
      <c r="M59" s="32" t="n">
        <f aca="false">M57*M58</f>
        <v>0</v>
      </c>
      <c r="N59" s="32" t="n">
        <f aca="false">N57*N58</f>
        <v>0</v>
      </c>
      <c r="O59" s="32" t="n">
        <f aca="false">O57*O58</f>
        <v>0</v>
      </c>
      <c r="P59" s="32" t="n">
        <f aca="false">P57*P58</f>
        <v>0</v>
      </c>
      <c r="Q59" s="32" t="n">
        <f aca="false">Q57*Q58</f>
        <v>0</v>
      </c>
      <c r="R59" s="32" t="n">
        <f aca="false">R57*R58</f>
        <v>0</v>
      </c>
      <c r="S59" s="32" t="n">
        <f aca="false">S57*S58</f>
        <v>0</v>
      </c>
      <c r="T59" s="32" t="n">
        <f aca="false">T57*T58</f>
        <v>0</v>
      </c>
      <c r="U59" s="32" t="n">
        <f aca="false">U57*U58</f>
        <v>0</v>
      </c>
      <c r="V59" s="32" t="n">
        <f aca="false">V57*V58</f>
        <v>0</v>
      </c>
      <c r="W59" s="32" t="n">
        <f aca="false">W57*W58</f>
        <v>0</v>
      </c>
      <c r="X59" s="32" t="n">
        <f aca="false">X57*X58</f>
        <v>0</v>
      </c>
      <c r="Y59" s="32" t="n">
        <f aca="false">Y57*Y58</f>
        <v>0</v>
      </c>
      <c r="Z59" s="32" t="n">
        <f aca="false">Z57*Z58</f>
        <v>0</v>
      </c>
      <c r="AA59" s="32" t="n">
        <f aca="false">AA57*AA58</f>
        <v>0</v>
      </c>
      <c r="AB59" s="32" t="n">
        <f aca="false">AB57*AB58</f>
        <v>0</v>
      </c>
      <c r="AC59" s="32" t="n">
        <f aca="false">AC57*AC58</f>
        <v>0</v>
      </c>
    </row>
    <row r="61" customFormat="false" ht="15" hidden="false" customHeight="true" outlineLevel="0" collapsed="false">
      <c r="B61" s="10" t="s">
        <v>208</v>
      </c>
      <c r="C61" s="11"/>
      <c r="D61" s="11"/>
    </row>
    <row r="62" customFormat="false" ht="15" hidden="false" customHeight="true" outlineLevel="0" collapsed="false">
      <c r="B62" s="5" t="s">
        <v>209</v>
      </c>
      <c r="C62" s="31" t="n">
        <f aca="false">SUM(F59:AC59)</f>
        <v>102.115269453796</v>
      </c>
      <c r="D62" s="13" t="s">
        <v>165</v>
      </c>
    </row>
    <row r="63" customFormat="false" ht="15" hidden="false" customHeight="true" outlineLevel="0" collapsed="false">
      <c r="B63" s="5" t="s">
        <v>210</v>
      </c>
      <c r="C63" s="34" t="n">
        <f aca="false">C62*$C$5</f>
        <v>99.6645029869051</v>
      </c>
      <c r="D63" s="13" t="s">
        <v>165</v>
      </c>
    </row>
    <row r="64" customFormat="false" ht="15" hidden="false" customHeight="true" outlineLevel="0" collapsed="false">
      <c r="B64" s="5" t="s">
        <v>211</v>
      </c>
      <c r="C64" s="35" t="n">
        <f aca="false">COUNTIF(F40:AC40,"&gt;0")</f>
        <v>5</v>
      </c>
      <c r="D64" s="13" t="s">
        <v>168</v>
      </c>
    </row>
    <row r="65" customFormat="false" ht="15" hidden="false" customHeight="true" outlineLevel="0" collapsed="false">
      <c r="B65" s="5" t="s">
        <v>212</v>
      </c>
      <c r="C65" s="36" t="n">
        <f aca="false">IFERROR((-(F49+F50+F51+F53)-F46)/F43*1000,0)</f>
        <v>2397.5790086762</v>
      </c>
      <c r="D65" s="13" t="s">
        <v>213</v>
      </c>
    </row>
    <row r="66" customFormat="false" ht="15" hidden="false" customHeight="true" outlineLevel="0" collapsed="false">
      <c r="B66" s="5" t="s">
        <v>214</v>
      </c>
      <c r="C66" s="36" t="n">
        <f aca="false">IFERROR((-(D49+D50+D51+D53)-D46)/D43*1000,0)</f>
        <v>2478.06620603702</v>
      </c>
      <c r="D66" s="13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6" min="3" style="1" width="14"/>
    <col collapsed="false" customWidth="true" hidden="false" outlineLevel="0" max="7" min="7" style="1" width="60"/>
  </cols>
  <sheetData>
    <row r="1" customFormat="false" ht="17.25" hidden="false" customHeight="true" outlineLevel="0" collapsed="false">
      <c r="B1" s="2" t="s">
        <v>239</v>
      </c>
    </row>
    <row r="2" customFormat="false" ht="15" hidden="false" customHeight="true" outlineLevel="0" collapsed="false">
      <c r="B2" s="3" t="s">
        <v>240</v>
      </c>
    </row>
    <row r="4" customFormat="false" ht="15" hidden="false" customHeight="true" outlineLevel="0" collapsed="false">
      <c r="B4" s="4" t="s">
        <v>181</v>
      </c>
      <c r="C4" s="4" t="s">
        <v>241</v>
      </c>
      <c r="D4" s="4" t="s">
        <v>242</v>
      </c>
      <c r="E4" s="4"/>
      <c r="F4" s="4"/>
      <c r="G4" s="4" t="s">
        <v>243</v>
      </c>
    </row>
    <row r="5" customFormat="false" ht="15" hidden="false" customHeight="true" outlineLevel="0" collapsed="false">
      <c r="B5" s="6" t="s">
        <v>244</v>
      </c>
      <c r="C5" s="38" t="n">
        <f aca="false">MtMilligan!$C$63</f>
        <v>927.738587925968</v>
      </c>
      <c r="D5" s="30" t="n">
        <v>0</v>
      </c>
    </row>
    <row r="6" customFormat="false" ht="15" hidden="false" customHeight="true" outlineLevel="0" collapsed="false">
      <c r="B6" s="6" t="s">
        <v>245</v>
      </c>
      <c r="C6" s="38" t="n">
        <f aca="false">Oksut!$C$63</f>
        <v>297.790902712492</v>
      </c>
      <c r="D6" s="30" t="n">
        <v>0</v>
      </c>
    </row>
    <row r="7" customFormat="false" ht="15" hidden="false" customHeight="true" outlineLevel="0" collapsed="false">
      <c r="B7" s="6" t="s">
        <v>246</v>
      </c>
      <c r="C7" s="38" t="n">
        <f aca="false">Goldfield!$C$63</f>
        <v>239.487674183905</v>
      </c>
      <c r="D7" s="30" t="n">
        <v>0</v>
      </c>
    </row>
    <row r="8" customFormat="false" ht="15" hidden="false" customHeight="true" outlineLevel="0" collapsed="false">
      <c r="B8" s="6" t="s">
        <v>247</v>
      </c>
      <c r="C8" s="30" t="n">
        <v>0</v>
      </c>
      <c r="D8" s="38" t="n">
        <f aca="false">Caraiba!$C$63</f>
        <v>970.677240123445</v>
      </c>
    </row>
    <row r="9" customFormat="false" ht="15" hidden="false" customHeight="true" outlineLevel="0" collapsed="false">
      <c r="B9" s="6" t="s">
        <v>248</v>
      </c>
      <c r="C9" s="30" t="n">
        <v>0</v>
      </c>
      <c r="D9" s="38" t="n">
        <f aca="false">Tucuma!$C$63</f>
        <v>936.154739175151</v>
      </c>
    </row>
    <row r="10" customFormat="false" ht="15" hidden="false" customHeight="true" outlineLevel="0" collapsed="false">
      <c r="B10" s="6" t="s">
        <v>249</v>
      </c>
      <c r="C10" s="30" t="n">
        <v>0</v>
      </c>
      <c r="D10" s="38" t="n">
        <f aca="false">Xavantina!$C$63</f>
        <v>99.6645029869051</v>
      </c>
    </row>
    <row r="11" customFormat="false" ht="15" hidden="false" customHeight="true" outlineLevel="0" collapsed="false">
      <c r="B11" s="5" t="s">
        <v>250</v>
      </c>
      <c r="C11" s="32" t="n">
        <f aca="false">SUM(C5:C10)</f>
        <v>1465.01716482237</v>
      </c>
      <c r="D11" s="32" t="n">
        <f aca="false">SUM(D5:D10)</f>
        <v>2006.4964822855</v>
      </c>
    </row>
    <row r="12" customFormat="false" ht="15" hidden="false" customHeight="true" outlineLevel="0" collapsed="false">
      <c r="B12" s="6" t="s">
        <v>251</v>
      </c>
      <c r="C12" s="30" t="n">
        <f aca="false">-50*(1-(1+Inputs!$C$31)^-Inputs!$C$30)/Inputs!$C$31</f>
        <v>-386.086746459241</v>
      </c>
      <c r="D12" s="30" t="n">
        <f aca="false">-40*(1-(1+Inputs!$C$31)^-Inputs!$C$30)/Inputs!$C$31</f>
        <v>-308.869397167393</v>
      </c>
      <c r="G12" s="13" t="s">
        <v>252</v>
      </c>
    </row>
    <row r="13" customFormat="false" ht="15" hidden="false" customHeight="true" outlineLevel="0" collapsed="false">
      <c r="B13" s="6" t="s">
        <v>253</v>
      </c>
      <c r="C13" s="24" t="n">
        <v>200</v>
      </c>
      <c r="D13" s="24" t="n">
        <v>100</v>
      </c>
      <c r="G13" s="13" t="s">
        <v>254</v>
      </c>
    </row>
    <row r="14" customFormat="false" ht="15" hidden="false" customHeight="true" outlineLevel="0" collapsed="false">
      <c r="B14" s="6" t="s">
        <v>255</v>
      </c>
      <c r="C14" s="24" t="n">
        <v>0</v>
      </c>
      <c r="D14" s="24" t="n">
        <v>0</v>
      </c>
      <c r="G14" s="13" t="s">
        <v>256</v>
      </c>
    </row>
    <row r="15" customFormat="false" ht="15" hidden="false" customHeight="true" outlineLevel="0" collapsed="false">
      <c r="B15" s="6" t="s">
        <v>257</v>
      </c>
      <c r="C15" s="38" t="n">
        <f aca="false">Market!$G$5</f>
        <v>453.103008</v>
      </c>
      <c r="D15" s="38" t="n">
        <f aca="false">Market!$G$6</f>
        <v>101.742</v>
      </c>
      <c r="G15" s="13" t="s">
        <v>258</v>
      </c>
    </row>
    <row r="16" customFormat="false" ht="15" hidden="false" customHeight="true" outlineLevel="0" collapsed="false">
      <c r="B16" s="6" t="s">
        <v>259</v>
      </c>
      <c r="C16" s="38" t="n">
        <f aca="false">-Market!$H$5</f>
        <v>-45.762</v>
      </c>
      <c r="D16" s="38" t="n">
        <f aca="false">-Market!$H$6</f>
        <v>-573.355008</v>
      </c>
      <c r="G16" s="13" t="s">
        <v>258</v>
      </c>
    </row>
    <row r="17" customFormat="false" ht="15" hidden="false" customHeight="true" outlineLevel="0" collapsed="false">
      <c r="B17" s="5" t="s">
        <v>260</v>
      </c>
      <c r="C17" s="32" t="n">
        <f aca="false">SUM(C11:C16)</f>
        <v>1686.27142636312</v>
      </c>
      <c r="D17" s="32" t="n">
        <f aca="false">SUM(D11:D16)</f>
        <v>1326.01407711811</v>
      </c>
    </row>
    <row r="18" customFormat="false" ht="15" hidden="false" customHeight="true" outlineLevel="0" collapsed="false">
      <c r="B18" s="6" t="s">
        <v>261</v>
      </c>
      <c r="C18" s="38" t="n">
        <f aca="false">Market!$E$5</f>
        <v>198.595055</v>
      </c>
      <c r="D18" s="38" t="n">
        <f aca="false">Market!$E$6</f>
        <v>104.302633</v>
      </c>
      <c r="G18" s="13" t="s">
        <v>262</v>
      </c>
    </row>
    <row r="19" customFormat="false" ht="15" hidden="false" customHeight="true" outlineLevel="0" collapsed="false">
      <c r="B19" s="5" t="s">
        <v>263</v>
      </c>
      <c r="C19" s="39" t="n">
        <f aca="false">C17/C18</f>
        <v>8.49100410059618</v>
      </c>
      <c r="D19" s="39" t="n">
        <f aca="false">D17/D18</f>
        <v>12.7131409723675</v>
      </c>
    </row>
    <row r="20" customFormat="false" ht="15" hidden="false" customHeight="true" outlineLevel="0" collapsed="false">
      <c r="B20" s="6" t="s">
        <v>264</v>
      </c>
      <c r="C20" s="19" t="n">
        <f aca="false">C19/Inputs!$C$7</f>
        <v>11.8904972701249</v>
      </c>
      <c r="D20" s="19" t="n">
        <f aca="false">D19/Inputs!$C$7</f>
        <v>17.803026148113</v>
      </c>
    </row>
    <row r="21" customFormat="false" ht="15" hidden="false" customHeight="true" outlineLevel="0" collapsed="false">
      <c r="B21" s="6" t="s">
        <v>265</v>
      </c>
      <c r="C21" s="28" t="n">
        <f aca="false">Market!$D$5</f>
        <v>28.32</v>
      </c>
      <c r="D21" s="28" t="n">
        <f aca="false">Market!$D$6</f>
        <v>42.03</v>
      </c>
    </row>
    <row r="22" customFormat="false" ht="15" hidden="false" customHeight="true" outlineLevel="0" collapsed="false">
      <c r="B22" s="5" t="s">
        <v>266</v>
      </c>
      <c r="C22" s="40" t="n">
        <f aca="false">C21/C20</f>
        <v>2.38173386332248</v>
      </c>
      <c r="D22" s="40" t="n">
        <f aca="false">D21/D20</f>
        <v>2.36083459353088</v>
      </c>
    </row>
    <row r="24" customFormat="false" ht="15" hidden="false" customHeight="true" outlineLevel="0" collapsed="false">
      <c r="B24" s="10" t="s">
        <v>267</v>
      </c>
      <c r="C24" s="11"/>
      <c r="D24" s="11"/>
      <c r="E24" s="11"/>
      <c r="F24" s="11"/>
      <c r="G24" s="11"/>
    </row>
    <row r="25" customFormat="false" ht="15" hidden="false" customHeight="true" outlineLevel="0" collapsed="false">
      <c r="B25" s="4" t="s">
        <v>181</v>
      </c>
      <c r="C25" s="4" t="s">
        <v>268</v>
      </c>
      <c r="D25" s="4" t="s">
        <v>269</v>
      </c>
      <c r="E25" s="4" t="s">
        <v>270</v>
      </c>
      <c r="F25" s="4" t="s">
        <v>271</v>
      </c>
    </row>
    <row r="26" customFormat="false" ht="15" hidden="false" customHeight="true" outlineLevel="0" collapsed="false">
      <c r="B26" s="6" t="s">
        <v>272</v>
      </c>
      <c r="C26" s="38" t="n">
        <f aca="false">MtMilligan!F42*MtMilligan!$C$5+Oksut!F42*Oksut!$C$5+Goldfield!F42*Goldfield!$C$5</f>
        <v>58.547652416</v>
      </c>
      <c r="D26" s="38" t="n">
        <f aca="false">MtMilligan!G42*MtMilligan!$C$5+Oksut!G42*Oksut!$C$5+Goldfield!G42*Goldfield!$C$5</f>
        <v>58.547652416</v>
      </c>
      <c r="E26" s="38" t="n">
        <f aca="false">Caraiba!F42*Caraiba!$C$5+Tucuma!F42*Tucuma!$C$5+Xavantina!F42*Xavantina!$C$5</f>
        <v>142.69905272667</v>
      </c>
      <c r="F26" s="38" t="n">
        <f aca="false">Caraiba!G42*Caraiba!$C$5+Tucuma!G42*Tucuma!$C$5+Xavantina!G42*Xavantina!$C$5</f>
        <v>142.69905272667</v>
      </c>
    </row>
    <row r="27" customFormat="false" ht="15" hidden="false" customHeight="true" outlineLevel="0" collapsed="false">
      <c r="B27" s="6" t="s">
        <v>273</v>
      </c>
      <c r="C27" s="38" t="n">
        <f aca="false">MtMilligan!F43*MtMilligan!$C$5+Oksut!F43*Oksut!$C$5+Goldfield!F43*Goldfield!$C$5</f>
        <v>235.145105856254</v>
      </c>
      <c r="D27" s="38" t="n">
        <f aca="false">MtMilligan!G43*MtMilligan!$C$5+Oksut!G43*Oksut!$C$5+Goldfield!G43*Goldfield!$C$5</f>
        <v>235.145105856254</v>
      </c>
      <c r="E27" s="38" t="n">
        <f aca="false">Caraiba!F43*Caraiba!$C$5+Tucuma!F43*Tucuma!$C$5+Xavantina!F43*Xavantina!$C$5</f>
        <v>39.2222749465494</v>
      </c>
      <c r="F27" s="38" t="n">
        <f aca="false">Caraiba!G43*Caraiba!$C$5+Tucuma!G43*Tucuma!$C$5+Xavantina!G43*Xavantina!$C$5</f>
        <v>39.2222749465494</v>
      </c>
    </row>
    <row r="28" customFormat="false" ht="15" hidden="false" customHeight="true" outlineLevel="0" collapsed="false">
      <c r="B28" s="6" t="s">
        <v>274</v>
      </c>
      <c r="C28" s="38" t="n">
        <f aca="false">MtMilligan!F48*MtMilligan!$C$5+Oksut!F48*Oksut!$C$5+Goldfield!F48*Goldfield!$C$5</f>
        <v>1066.64863488942</v>
      </c>
      <c r="D28" s="38" t="n">
        <f aca="false">MtMilligan!G48*MtMilligan!$C$5+Oksut!G48*Oksut!$C$5+Goldfield!G48*Goldfield!$C$5</f>
        <v>984.112983437324</v>
      </c>
      <c r="E28" s="38" t="n">
        <f aca="false">Caraiba!F48*Caraiba!$C$5+Tucuma!F48*Tucuma!$C$5+Xavantina!F48*Xavantina!$C$5</f>
        <v>1009.16118865156</v>
      </c>
      <c r="F28" s="38" t="n">
        <f aca="false">Caraiba!G48*Caraiba!$C$5+Tucuma!G48*Tucuma!$C$5+Xavantina!G48*Xavantina!$C$5</f>
        <v>926.044979804263</v>
      </c>
    </row>
    <row r="29" customFormat="false" ht="15" hidden="false" customHeight="true" outlineLevel="0" collapsed="false">
      <c r="B29" s="6" t="s">
        <v>201</v>
      </c>
      <c r="C29" s="38" t="n">
        <f aca="false">MtMilligan!F52*MtMilligan!$C$5+Oksut!F52*Oksut!$C$5+Goldfield!F52*Goldfield!$C$5</f>
        <v>552.175027073114</v>
      </c>
      <c r="D29" s="38" t="n">
        <f aca="false">MtMilligan!G52*MtMilligan!$C$5+Oksut!G52*Oksut!$C$5+Goldfield!G52*Goldfield!$C$5</f>
        <v>472.399157484796</v>
      </c>
      <c r="E29" s="38" t="n">
        <f aca="false">Caraiba!F52*Caraiba!$C$5+Tucuma!F52*Tucuma!$C$5+Xavantina!F52*Xavantina!$C$5</f>
        <v>608.494130785655</v>
      </c>
      <c r="F29" s="38" t="n">
        <f aca="false">Caraiba!G52*Caraiba!$C$5+Tucuma!G52*Tucuma!$C$5+Xavantina!G52*Xavantina!$C$5</f>
        <v>526.981412702881</v>
      </c>
    </row>
    <row r="30" customFormat="false" ht="15" hidden="false" customHeight="true" outlineLevel="0" collapsed="false">
      <c r="B30" s="6" t="s">
        <v>275</v>
      </c>
      <c r="C30" s="24" t="n">
        <v>-50</v>
      </c>
      <c r="D30" s="24" t="n">
        <v>-50</v>
      </c>
      <c r="E30" s="24" t="n">
        <v>-40</v>
      </c>
      <c r="F30" s="24" t="n">
        <v>-40</v>
      </c>
    </row>
    <row r="31" customFormat="false" ht="15" hidden="false" customHeight="true" outlineLevel="0" collapsed="false">
      <c r="B31" s="5" t="s">
        <v>276</v>
      </c>
      <c r="C31" s="32" t="n">
        <f aca="false">C29+C30</f>
        <v>502.175027073114</v>
      </c>
      <c r="D31" s="32" t="n">
        <f aca="false">D29+D30</f>
        <v>422.399157484796</v>
      </c>
      <c r="E31" s="32" t="n">
        <f aca="false">E29+E30</f>
        <v>568.494130785655</v>
      </c>
      <c r="F31" s="32" t="n">
        <f aca="false">F29+F30</f>
        <v>486.981412702881</v>
      </c>
    </row>
    <row r="32" customFormat="false" ht="15" hidden="false" customHeight="true" outlineLevel="0" collapsed="false">
      <c r="B32" s="6" t="s">
        <v>277</v>
      </c>
      <c r="C32" s="24" t="n">
        <v>-190</v>
      </c>
      <c r="D32" s="24" t="n">
        <v>-200</v>
      </c>
      <c r="E32" s="24" t="n">
        <v>-175</v>
      </c>
      <c r="F32" s="24" t="n">
        <v>-180</v>
      </c>
      <c r="G32" s="13" t="s">
        <v>278</v>
      </c>
    </row>
    <row r="33" customFormat="false" ht="15" hidden="false" customHeight="true" outlineLevel="0" collapsed="false">
      <c r="B33" s="6" t="s">
        <v>279</v>
      </c>
      <c r="C33" s="30" t="n">
        <f aca="false">C$16*0.06</f>
        <v>-2.74572</v>
      </c>
      <c r="D33" s="30" t="n">
        <f aca="false">C$16*0.06</f>
        <v>-2.74572</v>
      </c>
      <c r="E33" s="30" t="n">
        <f aca="false">D$16*0.065</f>
        <v>-37.26807552</v>
      </c>
      <c r="F33" s="30" t="n">
        <f aca="false">D$16*0.065</f>
        <v>-37.26807552</v>
      </c>
      <c r="G33" s="13" t="s">
        <v>280</v>
      </c>
    </row>
    <row r="34" customFormat="false" ht="15" hidden="false" customHeight="true" outlineLevel="0" collapsed="false">
      <c r="B34" s="6" t="s">
        <v>281</v>
      </c>
      <c r="C34" s="30" t="n">
        <f aca="false">C31+C32+C33</f>
        <v>309.429307073114</v>
      </c>
      <c r="D34" s="30" t="n">
        <f aca="false">D31+D32+D33</f>
        <v>219.653437484796</v>
      </c>
      <c r="E34" s="30" t="n">
        <f aca="false">E31+E32+E33</f>
        <v>356.226055265655</v>
      </c>
      <c r="F34" s="30" t="n">
        <f aca="false">F31+F32+F33</f>
        <v>269.713337182881</v>
      </c>
    </row>
    <row r="35" customFormat="false" ht="15" hidden="false" customHeight="true" outlineLevel="0" collapsed="false">
      <c r="B35" s="6" t="s">
        <v>282</v>
      </c>
      <c r="C35" s="30" t="n">
        <f aca="false">-MAX(0,C34)*0.28</f>
        <v>-86.640205980472</v>
      </c>
      <c r="D35" s="30" t="n">
        <f aca="false">-MAX(0,D34)*0.28</f>
        <v>-61.5029624957428</v>
      </c>
      <c r="E35" s="30" t="n">
        <f aca="false">-MAX(0,E34)*0.2</f>
        <v>-71.2452110531309</v>
      </c>
      <c r="F35" s="30" t="n">
        <f aca="false">-MAX(0,F34)*0.2</f>
        <v>-53.9426674365762</v>
      </c>
      <c r="G35" s="13" t="s">
        <v>283</v>
      </c>
    </row>
    <row r="36" customFormat="false" ht="15" hidden="false" customHeight="true" outlineLevel="0" collapsed="false">
      <c r="B36" s="5" t="s">
        <v>284</v>
      </c>
      <c r="C36" s="32" t="n">
        <f aca="false">C34+C35</f>
        <v>222.789101092642</v>
      </c>
      <c r="D36" s="32" t="n">
        <f aca="false">D34+D35</f>
        <v>158.150474989053</v>
      </c>
      <c r="E36" s="32" t="n">
        <f aca="false">E34+E35</f>
        <v>284.980844212524</v>
      </c>
      <c r="F36" s="32" t="n">
        <f aca="false">F34+F35</f>
        <v>215.770669746305</v>
      </c>
    </row>
    <row r="37" customFormat="false" ht="15" hidden="false" customHeight="true" outlineLevel="0" collapsed="false">
      <c r="B37" s="5" t="s">
        <v>285</v>
      </c>
      <c r="C37" s="39" t="n">
        <f aca="false">C36/C$18</f>
        <v>1.12182602478517</v>
      </c>
      <c r="D37" s="39" t="n">
        <f aca="false">D36/C$18</f>
        <v>0.796346490042529</v>
      </c>
      <c r="E37" s="39" t="n">
        <f aca="false">E36/D$18</f>
        <v>2.73224976221381</v>
      </c>
      <c r="F37" s="39" t="n">
        <f aca="false">F36/D$18</f>
        <v>2.06869820579031</v>
      </c>
    </row>
    <row r="38" customFormat="false" ht="15" hidden="false" customHeight="true" outlineLevel="0" collapsed="false">
      <c r="B38" s="6" t="s">
        <v>286</v>
      </c>
      <c r="C38" s="38" t="n">
        <f aca="false">MtMilligan!F56*MtMilligan!$C$5+Oksut!F56*Oksut!$C$5+Goldfield!F56*Goldfield!$C$5</f>
        <v>-105.514891458966</v>
      </c>
      <c r="D38" s="38" t="n">
        <f aca="false">MtMilligan!G56*MtMilligan!$C$5+Oksut!G56*Oksut!$C$5+Goldfield!G56*Goldfield!$C$5</f>
        <v>-82.2082375910451</v>
      </c>
      <c r="E38" s="38" t="n">
        <f aca="false">Caraiba!F56*Caraiba!$C$5+Tucuma!F56*Tucuma!$C$5+Xavantina!F56*Xavantina!$C$5</f>
        <v>-76.5408241711566</v>
      </c>
      <c r="F38" s="38" t="n">
        <f aca="false">Caraiba!G56*Caraiba!$C$5+Tucuma!G56*Tucuma!$C$5+Xavantina!G56*Xavantina!$C$5</f>
        <v>-71.0869754922764</v>
      </c>
    </row>
    <row r="39" customFormat="false" ht="15" hidden="false" customHeight="true" outlineLevel="0" collapsed="false">
      <c r="B39" s="5" t="s">
        <v>287</v>
      </c>
      <c r="C39" s="32" t="n">
        <f aca="false">C31+C33+C38</f>
        <v>393.914415614148</v>
      </c>
      <c r="D39" s="32" t="n">
        <f aca="false">D31+D33+D38</f>
        <v>337.445199893751</v>
      </c>
      <c r="E39" s="32" t="n">
        <f aca="false">E31+E33+E38</f>
        <v>454.685231094498</v>
      </c>
      <c r="F39" s="32" t="n">
        <f aca="false">F31+F33+F38</f>
        <v>378.626361690605</v>
      </c>
    </row>
    <row r="40" customFormat="false" ht="15" hidden="false" customHeight="true" outlineLevel="0" collapsed="false">
      <c r="B40" s="5" t="s">
        <v>288</v>
      </c>
      <c r="C40" s="39" t="n">
        <f aca="false">C39/C$18</f>
        <v>1.98350565986725</v>
      </c>
      <c r="D40" s="39" t="n">
        <f aca="false">D39/C$18</f>
        <v>1.69916214627676</v>
      </c>
      <c r="E40" s="39" t="n">
        <f aca="false">E39/D$18</f>
        <v>4.35928814083244</v>
      </c>
      <c r="F40" s="39" t="n">
        <f aca="false">F39/D$18</f>
        <v>3.63007481978527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7" min="6" style="1" width="12"/>
    <col collapsed="false" customWidth="true" hidden="false" outlineLevel="0" max="9" min="8" style="1" width="11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3" min="12" style="1" width="13"/>
  </cols>
  <sheetData>
    <row r="1" customFormat="false" ht="17.25" hidden="false" customHeight="true" outlineLevel="0" collapsed="false">
      <c r="B1" s="2" t="s">
        <v>289</v>
      </c>
    </row>
    <row r="2" customFormat="false" ht="15" hidden="false" customHeight="true" outlineLevel="0" collapsed="false">
      <c r="B2" s="3" t="s">
        <v>290</v>
      </c>
    </row>
    <row r="4" customFormat="false" ht="15" hidden="false" customHeight="true" outlineLevel="0" collapsed="false">
      <c r="B4" s="4" t="s">
        <v>85</v>
      </c>
      <c r="C4" s="4" t="s">
        <v>86</v>
      </c>
      <c r="D4" s="4" t="s">
        <v>291</v>
      </c>
      <c r="E4" s="4" t="s">
        <v>87</v>
      </c>
      <c r="F4" s="4" t="s">
        <v>89</v>
      </c>
      <c r="G4" s="4" t="s">
        <v>92</v>
      </c>
      <c r="H4" s="4" t="s">
        <v>292</v>
      </c>
      <c r="I4" s="4" t="s">
        <v>293</v>
      </c>
      <c r="J4" s="4" t="s">
        <v>294</v>
      </c>
      <c r="K4" s="4" t="s">
        <v>295</v>
      </c>
      <c r="L4" s="4" t="s">
        <v>296</v>
      </c>
      <c r="M4" s="4" t="s">
        <v>297</v>
      </c>
    </row>
    <row r="5" customFormat="false" ht="15" hidden="false" customHeight="true" outlineLevel="0" collapsed="false">
      <c r="B5" s="10" t="s">
        <v>101</v>
      </c>
      <c r="C5" s="41" t="str">
        <f aca="false">Market!$C$5</f>
        <v>Centerra Gold</v>
      </c>
      <c r="D5" s="42" t="s">
        <v>298</v>
      </c>
      <c r="E5" s="43" t="n">
        <f aca="false">Market!$D$5</f>
        <v>28.32</v>
      </c>
      <c r="F5" s="44" t="n">
        <f aca="false">Market!$F$5</f>
        <v>4016.14652657862</v>
      </c>
      <c r="G5" s="44" t="n">
        <f aca="false">Market!$I$5</f>
        <v>3608.80551857862</v>
      </c>
      <c r="H5" s="45" t="n">
        <f aca="false">IFERROR(Market!$I$5/Market!$J$5,"n/a")</f>
        <v>4.19647754876156</v>
      </c>
      <c r="I5" s="45" t="n">
        <f aca="false">IFERROR(Market!$F$5/Market!$K$5,"n/a")</f>
        <v>8.90517835006489</v>
      </c>
      <c r="J5" s="46" t="n">
        <f aca="false">CG_PNAV</f>
        <v>2.38173386332248</v>
      </c>
      <c r="K5" s="45" t="n">
        <f aca="false">IFERROR(Market!$D$5/Market!$P$5,"n/a")</f>
        <v>0.842254955630978</v>
      </c>
      <c r="L5" s="43" t="n">
        <f aca="false">(MtMilligan!$C$6-MtMilligan!$C$7)*MtMilligan!$C$8+(MtMilligan!$C$6-MtMilligan!$C$7)*MtMilligan!$C$9/31.1035*(Inputs!$AC$17/(Inputs!$AC$16*2204.62))+(Oksut!$C$6-Oksut!$C$7)*Oksut!$C$8+(Oksut!$C$6-Oksut!$C$7)*Oksut!$C$9/31.1035*(Inputs!$AC$17/(Inputs!$AC$16*2204.62))+(Goldfield!$C$6-Goldfield!$C$7)*Goldfield!$C$8+(Goldfield!$C$6-Goldfield!$C$7)*Goldfield!$C$9/31.1035*(Inputs!$AC$17/(Inputs!$AC$16*2204.62))</f>
        <v>2.24123749777552</v>
      </c>
      <c r="M5" s="47" t="n">
        <f aca="false">IFERROR(G5/(L5*2204.62),"n/a")</f>
        <v>0.730368198990136</v>
      </c>
    </row>
    <row r="6" customFormat="false" ht="15" hidden="false" customHeight="true" outlineLevel="0" collapsed="false">
      <c r="B6" s="10" t="s">
        <v>103</v>
      </c>
      <c r="C6" s="41" t="str">
        <f aca="false">Market!$C$6</f>
        <v>Ero Copper</v>
      </c>
      <c r="D6" s="42" t="s">
        <v>299</v>
      </c>
      <c r="E6" s="43" t="n">
        <f aca="false">Market!$D$6</f>
        <v>42.03</v>
      </c>
      <c r="F6" s="44" t="n">
        <f aca="false">Market!$F$6</f>
        <v>3130.41943944448</v>
      </c>
      <c r="G6" s="44" t="n">
        <f aca="false">Market!$I$6</f>
        <v>3602.03244744448</v>
      </c>
      <c r="H6" s="45" t="n">
        <f aca="false">IFERROR(Market!$I$6/Market!$J$6,"n/a")</f>
        <v>6.9668306021627</v>
      </c>
      <c r="I6" s="45" t="n">
        <f aca="false">IFERROR(Market!$F$6/Market!$K$6,"n/a")</f>
        <v>6.65963078287499</v>
      </c>
      <c r="J6" s="46" t="n">
        <f aca="false">ERO_PNAV</f>
        <v>2.36083459353088</v>
      </c>
      <c r="K6" s="45" t="n">
        <f aca="false">IFERROR(Market!$D$6/Market!$P$6,"n/a")</f>
        <v>0.739533567750636</v>
      </c>
      <c r="L6" s="43" t="n">
        <f aca="false">(Caraiba!$C$6-Caraiba!$C$7)*Caraiba!$C$8+(Caraiba!$C$6-Caraiba!$C$7)*Caraiba!$C$9/31.1035*(Inputs!$AC$17/(Inputs!$AC$16*2204.62))+(Tucuma!$C$6-Tucuma!$C$7)*Tucuma!$C$8+(Tucuma!$C$6-Tucuma!$C$7)*Tucuma!$C$9/31.1035*(Inputs!$AC$17/(Inputs!$AC$16*2204.62))+(Xavantina!$C$6-Xavantina!$C$7)*Xavantina!$C$8+(Xavantina!$C$6-Xavantina!$C$7)*Xavantina!$C$9/31.1035*(Inputs!$AC$17/(Inputs!$AC$16*2204.62))</f>
        <v>0.98172972669614</v>
      </c>
      <c r="M6" s="47" t="n">
        <f aca="false">IFERROR(G6/(L6*2204.62),"n/a")</f>
        <v>1.66426291604351</v>
      </c>
    </row>
    <row r="7" customFormat="false" ht="15" hidden="false" customHeight="true" outlineLevel="0" collapsed="false">
      <c r="B7" s="5" t="s">
        <v>105</v>
      </c>
      <c r="C7" s="8" t="str">
        <f aca="false">Market!$C$7</f>
        <v>Capstone Copper</v>
      </c>
      <c r="D7" s="6" t="s">
        <v>300</v>
      </c>
      <c r="E7" s="28" t="n">
        <f aca="false">Market!$D$7</f>
        <v>11.19</v>
      </c>
      <c r="F7" s="29" t="n">
        <f aca="false">Market!$F$7</f>
        <v>6104.39342582041</v>
      </c>
      <c r="G7" s="29" t="n">
        <f aca="false">Market!$I$7</f>
        <v>7300.89240182041</v>
      </c>
      <c r="H7" s="48" t="n">
        <f aca="false">IFERROR(Market!$I$7/Market!$J$7,"n/a")</f>
        <v>7.4066292033148</v>
      </c>
      <c r="I7" s="48" t="n">
        <f aca="false">IFERROR(Market!$F$7/Market!$K$7,"n/a")</f>
        <v>7.37916680619019</v>
      </c>
      <c r="J7" s="48" t="s">
        <v>301</v>
      </c>
      <c r="K7" s="48" t="n">
        <f aca="false">IFERROR(Market!$D$7/Market!$P$7,"n/a")</f>
        <v>0.62135598867233</v>
      </c>
      <c r="L7" s="12" t="n">
        <v>7</v>
      </c>
      <c r="M7" s="19" t="n">
        <f aca="false">IFERROR(G7/(L7*2204.62),"n/a")</f>
        <v>0.473090432288325</v>
      </c>
    </row>
    <row r="8" customFormat="false" ht="15" hidden="false" customHeight="true" outlineLevel="0" collapsed="false">
      <c r="B8" s="5" t="s">
        <v>107</v>
      </c>
      <c r="C8" s="8" t="str">
        <f aca="false">Market!$C$8</f>
        <v>Torex Gold</v>
      </c>
      <c r="D8" s="6" t="s">
        <v>300</v>
      </c>
      <c r="E8" s="28" t="n">
        <f aca="false">Market!$D$8</f>
        <v>67.14</v>
      </c>
      <c r="F8" s="29" t="n">
        <f aca="false">Market!$F$8</f>
        <v>4439.30341829635</v>
      </c>
      <c r="G8" s="29" t="n">
        <f aca="false">Market!$I$8</f>
        <v>4369.30341829635</v>
      </c>
      <c r="H8" s="48" t="n">
        <f aca="false">IFERROR(Market!$I$8/Market!$J$8,"n/a")</f>
        <v>4.10880517048745</v>
      </c>
      <c r="I8" s="48" t="n">
        <f aca="false">IFERROR(Market!$F$8/Market!$K$8,"n/a")</f>
        <v>5.49078985034215</v>
      </c>
      <c r="J8" s="48" t="s">
        <v>301</v>
      </c>
      <c r="K8" s="48" t="n">
        <f aca="false">IFERROR(Market!$D$8/Market!$P$8,"n/a")</f>
        <v>0.704512067156348</v>
      </c>
      <c r="L8" s="12" t="n">
        <v>1.35</v>
      </c>
      <c r="M8" s="19" t="n">
        <f aca="false">IFERROR(G8/(L8*2204.62),"n/a")</f>
        <v>1.46806299978676</v>
      </c>
    </row>
    <row r="9" customFormat="false" ht="15" hidden="false" customHeight="true" outlineLevel="0" collapsed="false">
      <c r="B9" s="5" t="s">
        <v>109</v>
      </c>
      <c r="C9" s="8" t="str">
        <f aca="false">Market!$C$9</f>
        <v>OceanaGold</v>
      </c>
      <c r="D9" s="6" t="s">
        <v>300</v>
      </c>
      <c r="E9" s="28" t="n">
        <f aca="false">Market!$D$9</f>
        <v>34.67</v>
      </c>
      <c r="F9" s="29" t="n">
        <f aca="false">Market!$F$9</f>
        <v>5507.18018160282</v>
      </c>
      <c r="G9" s="29" t="n">
        <f aca="false">Market!$I$9</f>
        <v>4902.48018160282</v>
      </c>
      <c r="H9" s="48" t="n">
        <f aca="false">IFERROR(Market!$I$9/Market!$J$9,"n/a")</f>
        <v>3.41279519026263</v>
      </c>
      <c r="I9" s="48" t="n">
        <f aca="false">IFERROR(Market!$F$9/Market!$K$9,"n/a")</f>
        <v>4.29979714366241</v>
      </c>
      <c r="J9" s="48" t="s">
        <v>301</v>
      </c>
      <c r="K9" s="48" t="n">
        <f aca="false">IFERROR(Market!$D$9/Market!$P$9,"n/a")</f>
        <v>0.608481106898565</v>
      </c>
      <c r="L9" s="12" t="n">
        <v>1.8</v>
      </c>
      <c r="M9" s="19" t="n">
        <f aca="false">IFERROR(G9/(L9*2204.62),"n/a")</f>
        <v>1.2354056939021</v>
      </c>
    </row>
    <row r="10" customFormat="false" ht="15" hidden="false" customHeight="true" outlineLevel="0" collapsed="false">
      <c r="B10" s="5" t="s">
        <v>111</v>
      </c>
      <c r="C10" s="8" t="str">
        <f aca="false">Market!$C$10</f>
        <v>SSR Mining</v>
      </c>
      <c r="D10" s="6" t="s">
        <v>300</v>
      </c>
      <c r="E10" s="28" t="n">
        <f aca="false">Market!$D$10</f>
        <v>39.75</v>
      </c>
      <c r="F10" s="29" t="n">
        <f aca="false">Market!$F$10</f>
        <v>5889.58122087221</v>
      </c>
      <c r="G10" s="29" t="n">
        <f aca="false">Market!$I$10</f>
        <v>4057.91718887221</v>
      </c>
      <c r="H10" s="48" t="n">
        <f aca="false">IFERROR(Market!$I$10/Market!$J$10,"n/a")</f>
        <v>4.6981424578944</v>
      </c>
      <c r="I10" s="48" t="n">
        <f aca="false">IFERROR(Market!$F$10/Market!$K$10,"n/a")</f>
        <v>9.86939502653064</v>
      </c>
      <c r="J10" s="48" t="s">
        <v>301</v>
      </c>
      <c r="K10" s="48" t="n">
        <f aca="false">IFERROR(Market!$D$10/Market!$P$10,"n/a")</f>
        <v>0.68403240527373</v>
      </c>
      <c r="L10" s="12" t="n">
        <v>2.7</v>
      </c>
      <c r="M10" s="19" t="n">
        <f aca="false">IFERROR(G10/(L10*2204.62),"n/a")</f>
        <v>0.681719431092384</v>
      </c>
    </row>
    <row r="11" customFormat="false" ht="15" hidden="false" customHeight="true" outlineLevel="0" collapsed="false">
      <c r="B11" s="5" t="s">
        <v>113</v>
      </c>
      <c r="C11" s="8" t="str">
        <f aca="false">Market!$C$11</f>
        <v>Hudbay Minerals</v>
      </c>
      <c r="D11" s="6" t="s">
        <v>300</v>
      </c>
      <c r="E11" s="28" t="n">
        <f aca="false">Market!$D$11</f>
        <v>30.76</v>
      </c>
      <c r="F11" s="29" t="n">
        <f aca="false">Market!$F$11</f>
        <v>9755.7068971681</v>
      </c>
      <c r="G11" s="29" t="n">
        <f aca="false">Market!$I$11</f>
        <v>9909.3068971681</v>
      </c>
      <c r="H11" s="48" t="n">
        <f aca="false">IFERROR(Market!$I$11/Market!$J$11,"n/a")</f>
        <v>8.64234035433271</v>
      </c>
      <c r="I11" s="48" t="n">
        <f aca="false">IFERROR(Market!$F$11/Market!$K$11,"n/a")</f>
        <v>11.7411328353404</v>
      </c>
      <c r="J11" s="48" t="s">
        <v>301</v>
      </c>
      <c r="K11" s="48" t="n">
        <f aca="false">IFERROR(Market!$D$11/Market!$P$11,"n/a")</f>
        <v>0.680484212744142</v>
      </c>
      <c r="L11" s="12" t="n">
        <v>7.5</v>
      </c>
      <c r="M11" s="19" t="n">
        <f aca="false">IFERROR(G11/(L11*2204.62),"n/a")</f>
        <v>0.599305512796951</v>
      </c>
    </row>
    <row r="12" customFormat="false" ht="15" hidden="false" customHeight="true" outlineLevel="0" collapsed="false">
      <c r="B12" s="5" t="s">
        <v>115</v>
      </c>
      <c r="C12" s="8" t="str">
        <f aca="false">Market!$C$12</f>
        <v>Lundin Mining</v>
      </c>
      <c r="D12" s="6" t="s">
        <v>300</v>
      </c>
      <c r="E12" s="28" t="n">
        <f aca="false">Market!$D$12</f>
        <v>29.5</v>
      </c>
      <c r="F12" s="29" t="n">
        <f aca="false">Market!$F$12</f>
        <v>17934.2368933608</v>
      </c>
      <c r="G12" s="29" t="n">
        <f aca="false">Market!$I$12</f>
        <v>18057.0368933608</v>
      </c>
      <c r="H12" s="48" t="n">
        <f aca="false">IFERROR(Market!$I$12/Market!$J$12,"n/a")</f>
        <v>8.29065103515341</v>
      </c>
      <c r="I12" s="48" t="n">
        <f aca="false">IFERROR(Market!$F$12/Market!$K$12,"n/a")</f>
        <v>10.0646706163597</v>
      </c>
      <c r="J12" s="48" t="s">
        <v>301</v>
      </c>
      <c r="K12" s="48" t="n">
        <f aca="false">IFERROR(Market!$D$12/Market!$P$12,"n/a")</f>
        <v>0.686737433368428</v>
      </c>
      <c r="L12" s="12" t="n">
        <v>7.5</v>
      </c>
      <c r="M12" s="19" t="n">
        <f aca="false">IFERROR(G12/(L12*2204.62),"n/a")</f>
        <v>1.09207252003283</v>
      </c>
    </row>
    <row r="13" customFormat="false" ht="15" hidden="false" customHeight="true" outlineLevel="0" collapsed="false">
      <c r="B13" s="5" t="s">
        <v>117</v>
      </c>
      <c r="C13" s="8" t="str">
        <f aca="false">Market!$C$13</f>
        <v>Eldorado Gold</v>
      </c>
      <c r="D13" s="6" t="s">
        <v>300</v>
      </c>
      <c r="E13" s="28" t="n">
        <f aca="false">Market!$D$13</f>
        <v>44.32</v>
      </c>
      <c r="F13" s="29" t="n">
        <f aca="false">Market!$F$13</f>
        <v>8254.15107876046</v>
      </c>
      <c r="G13" s="29" t="n">
        <f aca="false">Market!$I$13</f>
        <v>9462.72407076046</v>
      </c>
      <c r="H13" s="48" t="n">
        <f aca="false">IFERROR(Market!$I$13/Market!$J$13,"n/a")</f>
        <v>8.22119292600347</v>
      </c>
      <c r="I13" s="48" t="n">
        <f aca="false">IFERROR(Market!$F$13/Market!$K$13,"n/a")</f>
        <v>11.0912627200245</v>
      </c>
      <c r="J13" s="48" t="s">
        <v>301</v>
      </c>
      <c r="K13" s="48" t="n">
        <f aca="false">IFERROR(Market!$D$13/Market!$P$13,"n/a")</f>
        <v>0.675950101095109</v>
      </c>
      <c r="L13" s="12" t="n">
        <v>3.9</v>
      </c>
      <c r="M13" s="19" t="n">
        <f aca="false">IFERROR(G13/(L13*2204.62),"n/a")</f>
        <v>1.10057039549818</v>
      </c>
    </row>
    <row r="14" customFormat="false" ht="15" hidden="false" customHeight="true" outlineLevel="0" collapsed="false">
      <c r="B14" s="5" t="s">
        <v>119</v>
      </c>
      <c r="C14" s="8" t="str">
        <f aca="false">Market!$C$14</f>
        <v>DPM Metals</v>
      </c>
      <c r="D14" s="6" t="s">
        <v>300</v>
      </c>
      <c r="E14" s="28" t="n">
        <f aca="false">Market!$D$14</f>
        <v>56.02</v>
      </c>
      <c r="F14" s="29" t="n">
        <f aca="false">Market!$F$14</f>
        <v>8775.37202406737</v>
      </c>
      <c r="G14" s="29" t="n">
        <f aca="false">Market!$I$14</f>
        <v>8022.57600006737</v>
      </c>
      <c r="H14" s="48" t="n">
        <f aca="false">IFERROR(Market!$I$14/Market!$J$14,"n/a")</f>
        <v>9.33206025043861</v>
      </c>
      <c r="I14" s="48" t="n">
        <f aca="false">IFERROR(Market!$F$14/Market!$K$14,"n/a")</f>
        <v>11.4221755656373</v>
      </c>
      <c r="J14" s="48" t="s">
        <v>301</v>
      </c>
      <c r="K14" s="48" t="n">
        <f aca="false">IFERROR(Market!$D$14/Market!$P$14,"n/a")</f>
        <v>0.80299881786304</v>
      </c>
      <c r="L14" s="12" t="n">
        <v>1.4</v>
      </c>
      <c r="M14" s="19" t="n">
        <f aca="false">IFERROR(G14/(L14*2204.62),"n/a")</f>
        <v>2.59927399217078</v>
      </c>
    </row>
    <row r="15" customFormat="false" ht="15" hidden="false" customHeight="true" outlineLevel="0" collapsed="false">
      <c r="B15" s="5" t="s">
        <v>121</v>
      </c>
      <c r="C15" s="8" t="str">
        <f aca="false">Market!$C$15</f>
        <v>IAMGOLD</v>
      </c>
      <c r="D15" s="6" t="s">
        <v>300</v>
      </c>
      <c r="E15" s="28" t="n">
        <f aca="false">Market!$D$15</f>
        <v>22.72</v>
      </c>
      <c r="F15" s="29" t="n">
        <f aca="false">Market!$F$15</f>
        <v>9263.8668705368</v>
      </c>
      <c r="G15" s="29" t="n">
        <f aca="false">Market!$I$15</f>
        <v>9301.2668705368</v>
      </c>
      <c r="H15" s="48" t="n">
        <f aca="false">IFERROR(Market!$I$15/Market!$J$15,"n/a")</f>
        <v>4.53499101916011</v>
      </c>
      <c r="I15" s="48" t="n">
        <f aca="false">IFERROR(Market!$F$15/Market!$K$15,"n/a")</f>
        <v>4.63773052421999</v>
      </c>
      <c r="J15" s="48" t="s">
        <v>301</v>
      </c>
      <c r="K15" s="48" t="n">
        <f aca="false">IFERROR(Market!$D$15/Market!$P$15,"n/a")</f>
        <v>0.668449394526659</v>
      </c>
      <c r="L15" s="12" t="n">
        <v>3.9</v>
      </c>
      <c r="M15" s="19" t="n">
        <f aca="false">IFERROR(G15/(L15*2204.62),"n/a")</f>
        <v>1.08179197467798</v>
      </c>
    </row>
    <row r="16" customFormat="false" ht="15" hidden="false" customHeight="true" outlineLevel="0" collapsed="false">
      <c r="B16" s="5" t="s">
        <v>123</v>
      </c>
      <c r="C16" s="8" t="str">
        <f aca="false">Market!$C$16</f>
        <v>Equinox Gold</v>
      </c>
      <c r="D16" s="6" t="s">
        <v>300</v>
      </c>
      <c r="E16" s="28" t="n">
        <f aca="false">Market!$D$16</f>
        <v>14.13</v>
      </c>
      <c r="F16" s="29" t="n">
        <f aca="false">Market!$F$16</f>
        <v>11779.6388344302</v>
      </c>
      <c r="G16" s="29" t="n">
        <f aca="false">Market!$I$16</f>
        <v>12137.1158264302</v>
      </c>
      <c r="H16" s="48" t="n">
        <f aca="false">IFERROR(Market!$I$16/Market!$J$16,"n/a")</f>
        <v>7.1844248483339</v>
      </c>
      <c r="I16" s="48" t="n">
        <f aca="false">IFERROR(Market!$F$16/Market!$K$16,"n/a")</f>
        <v>10.9960389321133</v>
      </c>
      <c r="J16" s="48" t="s">
        <v>301</v>
      </c>
      <c r="K16" s="48" t="n">
        <f aca="false">IFERROR(Market!$D$16/Market!$P$16,"n/a")</f>
        <v>0.577354513404554</v>
      </c>
      <c r="L16" s="12" t="n">
        <v>6</v>
      </c>
      <c r="M16" s="19" t="n">
        <f aca="false">IFERROR(G16/(L16*2204.62),"n/a")</f>
        <v>0.917551613311304</v>
      </c>
    </row>
    <row r="18" customFormat="false" ht="15" hidden="false" customHeight="true" outlineLevel="0" collapsed="false">
      <c r="B18" s="5" t="s">
        <v>302</v>
      </c>
      <c r="H18" s="40" t="n">
        <f aca="false">IFERROR(AVERAGE(H7:H16),"n/a")</f>
        <v>6.58320324553815</v>
      </c>
      <c r="I18" s="40" t="n">
        <f aca="false">IFERROR(AVERAGE(I7:I16),"n/a")</f>
        <v>8.69921600204205</v>
      </c>
      <c r="J18" s="40" t="str">
        <f aca="false">IFERROR(AVERAGE(J7:J16),"n/a")</f>
        <v>n/a</v>
      </c>
      <c r="K18" s="40" t="n">
        <f aca="false">IFERROR(AVERAGE(K7:K16),"n/a")</f>
        <v>0.671035604100291</v>
      </c>
      <c r="M18" s="39" t="n">
        <f aca="false">IFERROR(AVERAGE(M7:M16),"n/a")</f>
        <v>1.12488445655576</v>
      </c>
    </row>
    <row r="19" customFormat="false" ht="15" hidden="false" customHeight="true" outlineLevel="0" collapsed="false">
      <c r="B19" s="5" t="s">
        <v>303</v>
      </c>
      <c r="H19" s="40" t="n">
        <f aca="false">IFERROR(MEDIAN(H7:H16),"n/a")</f>
        <v>7.29552702582435</v>
      </c>
      <c r="I19" s="40" t="n">
        <f aca="false">IFERROR(MEDIAN(I7:I16),"n/a")</f>
        <v>9.96703282144517</v>
      </c>
      <c r="J19" s="40" t="str">
        <f aca="false">IFERROR(MEDIAN(J7:J16),"n/a")</f>
        <v>n/a</v>
      </c>
      <c r="K19" s="40" t="n">
        <f aca="false">IFERROR(MEDIAN(K7:K16),"n/a")</f>
        <v>0.678217156919626</v>
      </c>
      <c r="M19" s="39" t="n">
        <f aca="false">IFERROR(MEDIAN(M7:M16),"n/a")</f>
        <v>1.0869322473554</v>
      </c>
    </row>
    <row r="20" customFormat="false" ht="15" hidden="false" customHeight="true" outlineLevel="0" collapsed="false">
      <c r="B20" s="5" t="s">
        <v>304</v>
      </c>
      <c r="H20" s="40" t="n">
        <f aca="false">IFERROR(QUARTILE(H7:H16,1),"n/a")</f>
        <v>4.57577887884368</v>
      </c>
      <c r="I20" s="40" t="n">
        <f aca="false">IFERROR(QUARTILE(I7:I16,1),"n/a")</f>
        <v>5.96288408930416</v>
      </c>
      <c r="J20" s="40" t="str">
        <f aca="false">IFERROR(QUARTILE(J7:J16,1),"n/a")</f>
        <v>n/a</v>
      </c>
      <c r="K20" s="40" t="n">
        <f aca="false">IFERROR(QUARTILE(K7:K16,1),"n/a")</f>
        <v>0.633129340135913</v>
      </c>
      <c r="M20" s="39" t="n">
        <f aca="false">IFERROR(QUARTILE(M7:M16,1),"n/a")</f>
        <v>0.740677476647114</v>
      </c>
    </row>
    <row r="21" customFormat="false" ht="15" hidden="false" customHeight="true" outlineLevel="0" collapsed="false">
      <c r="B21" s="5" t="s">
        <v>305</v>
      </c>
      <c r="H21" s="40" t="n">
        <f aca="false">IFERROR(QUARTILE(H7:H16,3),"n/a")</f>
        <v>8.27328650786593</v>
      </c>
      <c r="I21" s="40" t="n">
        <f aca="false">IFERROR(QUARTILE(I7:I16,3),"n/a")</f>
        <v>11.0674567730467</v>
      </c>
      <c r="J21" s="40" t="str">
        <f aca="false">IFERROR(QUARTILE(J7:J16,3),"n/a")</f>
        <v>n/a</v>
      </c>
      <c r="K21" s="40" t="n">
        <f aca="false">IFERROR(QUARTILE(K7:K16,3),"n/a")</f>
        <v>0.686061176344753</v>
      </c>
      <c r="M21" s="39" t="n">
        <f aca="false">IFERROR(QUARTILE(M7:M16,3),"n/a")</f>
        <v>1.20169686930112</v>
      </c>
    </row>
    <row r="23" customFormat="false" ht="15" hidden="false" customHeight="true" outlineLevel="0" collapsed="false">
      <c r="B23" s="5" t="s">
        <v>306</v>
      </c>
    </row>
    <row r="24" customFormat="false" ht="15" hidden="false" customHeight="true" outlineLevel="0" collapsed="false">
      <c r="B24" s="13" t="s">
        <v>307</v>
      </c>
    </row>
    <row r="25" customFormat="false" ht="15" hidden="false" customHeight="true" outlineLevel="0" collapsed="false">
      <c r="B25" s="13" t="s">
        <v>308</v>
      </c>
    </row>
    <row r="26" customFormat="false" ht="15" hidden="false" customHeight="true" outlineLevel="0" collapsed="false">
      <c r="B26" s="13" t="s">
        <v>309</v>
      </c>
    </row>
    <row r="27" customFormat="false" ht="15" hidden="false" customHeight="true" outlineLevel="0" collapsed="false">
      <c r="B27" s="13" t="s">
        <v>310</v>
      </c>
    </row>
    <row r="28" customFormat="false" ht="15" hidden="false" customHeight="true" outlineLevel="0" collapsed="false">
      <c r="B28" s="13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1"/>
    <col collapsed="false" customWidth="true" hidden="false" outlineLevel="0" max="4" min="3" style="1" width="22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11"/>
    <col collapsed="false" customWidth="true" hidden="false" outlineLevel="0" max="11" min="11" style="1" width="12"/>
    <col collapsed="false" customWidth="true" hidden="false" outlineLevel="0" max="12" min="12" style="1" width="50"/>
  </cols>
  <sheetData>
    <row r="1" customFormat="false" ht="17.25" hidden="false" customHeight="true" outlineLevel="0" collapsed="false">
      <c r="B1" s="2" t="s">
        <v>312</v>
      </c>
    </row>
    <row r="2" customFormat="false" ht="15" hidden="false" customHeight="true" outlineLevel="0" collapsed="false">
      <c r="B2" s="3" t="s">
        <v>313</v>
      </c>
    </row>
    <row r="4" customFormat="false" ht="15" hidden="false" customHeight="true" outlineLevel="0" collapsed="false">
      <c r="B4" s="4" t="s">
        <v>314</v>
      </c>
      <c r="C4" s="4" t="s">
        <v>315</v>
      </c>
      <c r="D4" s="4" t="s">
        <v>316</v>
      </c>
      <c r="E4" s="4" t="s">
        <v>317</v>
      </c>
      <c r="F4" s="4" t="s">
        <v>318</v>
      </c>
      <c r="G4" s="4" t="s">
        <v>319</v>
      </c>
      <c r="H4" s="4" t="s">
        <v>320</v>
      </c>
      <c r="I4" s="4" t="s">
        <v>321</v>
      </c>
      <c r="J4" s="4" t="s">
        <v>322</v>
      </c>
      <c r="K4" s="4" t="s">
        <v>323</v>
      </c>
      <c r="L4" s="4" t="s">
        <v>324</v>
      </c>
    </row>
    <row r="5" customFormat="false" ht="15" hidden="false" customHeight="true" outlineLevel="0" collapsed="false">
      <c r="B5" s="7" t="s">
        <v>325</v>
      </c>
      <c r="C5" s="7" t="s">
        <v>326</v>
      </c>
      <c r="D5" s="7" t="s">
        <v>327</v>
      </c>
      <c r="E5" s="7" t="s">
        <v>328</v>
      </c>
      <c r="F5" s="7" t="s">
        <v>329</v>
      </c>
      <c r="G5" s="14" t="n">
        <v>7000</v>
      </c>
      <c r="H5" s="23" t="n">
        <v>0.16</v>
      </c>
      <c r="I5" s="49"/>
      <c r="J5" s="12"/>
      <c r="K5" s="20" t="str">
        <f aca="false">IF(J5&gt;0,G5/J5,"n/a")</f>
        <v>n/a</v>
      </c>
      <c r="L5" s="7" t="s">
        <v>330</v>
      </c>
      <c r="M5" s="13" t="s">
        <v>331</v>
      </c>
    </row>
    <row r="6" customFormat="false" ht="15" hidden="false" customHeight="true" outlineLevel="0" collapsed="false">
      <c r="B6" s="7" t="s">
        <v>332</v>
      </c>
      <c r="C6" s="7" t="s">
        <v>333</v>
      </c>
      <c r="D6" s="7" t="s">
        <v>334</v>
      </c>
      <c r="E6" s="7" t="s">
        <v>335</v>
      </c>
      <c r="F6" s="7" t="s">
        <v>336</v>
      </c>
      <c r="G6" s="14" t="n">
        <v>1030</v>
      </c>
      <c r="H6" s="23" t="n">
        <v>0.31</v>
      </c>
      <c r="I6" s="49" t="n">
        <v>1.26</v>
      </c>
      <c r="J6" s="12"/>
      <c r="K6" s="20" t="str">
        <f aca="false">IF(J6&gt;0,G6/J6,"n/a")</f>
        <v>n/a</v>
      </c>
      <c r="L6" s="7" t="s">
        <v>337</v>
      </c>
      <c r="M6" s="13" t="s">
        <v>338</v>
      </c>
    </row>
    <row r="7" customFormat="false" ht="15" hidden="false" customHeight="true" outlineLevel="0" collapsed="false">
      <c r="B7" s="7" t="s">
        <v>339</v>
      </c>
      <c r="C7" s="7" t="s">
        <v>124</v>
      </c>
      <c r="D7" s="7" t="s">
        <v>340</v>
      </c>
      <c r="E7" s="7" t="s">
        <v>341</v>
      </c>
      <c r="F7" s="7" t="s">
        <v>329</v>
      </c>
      <c r="G7" s="14" t="n">
        <v>1800</v>
      </c>
      <c r="H7" s="23" t="n">
        <v>0.31</v>
      </c>
      <c r="I7" s="49"/>
      <c r="J7" s="12"/>
      <c r="K7" s="20" t="str">
        <f aca="false">IF(J7&gt;0,G7/J7,"n/a")</f>
        <v>n/a</v>
      </c>
      <c r="L7" s="7" t="s">
        <v>342</v>
      </c>
      <c r="M7" s="13" t="s">
        <v>343</v>
      </c>
    </row>
    <row r="8" customFormat="false" ht="15" hidden="false" customHeight="true" outlineLevel="0" collapsed="false">
      <c r="B8" s="7" t="s">
        <v>344</v>
      </c>
      <c r="C8" s="7" t="s">
        <v>345</v>
      </c>
      <c r="D8" s="7" t="s">
        <v>346</v>
      </c>
      <c r="E8" s="7" t="s">
        <v>341</v>
      </c>
      <c r="F8" s="7" t="s">
        <v>329</v>
      </c>
      <c r="G8" s="14" t="n">
        <v>3300</v>
      </c>
      <c r="H8" s="23" t="n">
        <v>0.37</v>
      </c>
      <c r="I8" s="49"/>
      <c r="J8" s="12" t="n">
        <v>6</v>
      </c>
      <c r="K8" s="20" t="n">
        <f aca="false">IF(J8&gt;0,G8/J8,"n/a")</f>
        <v>550</v>
      </c>
      <c r="L8" s="7" t="s">
        <v>347</v>
      </c>
      <c r="M8" s="13" t="s">
        <v>348</v>
      </c>
    </row>
    <row r="9" customFormat="false" ht="15" hidden="false" customHeight="true" outlineLevel="0" collapsed="false">
      <c r="B9" s="7" t="s">
        <v>349</v>
      </c>
      <c r="C9" s="7" t="s">
        <v>350</v>
      </c>
      <c r="D9" s="7" t="s">
        <v>351</v>
      </c>
      <c r="E9" s="7" t="s">
        <v>341</v>
      </c>
      <c r="F9" s="7" t="s">
        <v>336</v>
      </c>
      <c r="G9" s="14" t="n">
        <v>1570</v>
      </c>
      <c r="H9" s="23" t="n">
        <v>0.55</v>
      </c>
      <c r="I9" s="49"/>
      <c r="J9" s="12" t="n">
        <v>3.5</v>
      </c>
      <c r="K9" s="20" t="n">
        <f aca="false">IF(J9&gt;0,G9/J9,"n/a")</f>
        <v>448.571428571429</v>
      </c>
      <c r="L9" s="7" t="s">
        <v>352</v>
      </c>
      <c r="M9" s="13" t="s">
        <v>353</v>
      </c>
    </row>
    <row r="10" customFormat="false" ht="15" hidden="false" customHeight="true" outlineLevel="0" collapsed="false">
      <c r="B10" s="7" t="s">
        <v>354</v>
      </c>
      <c r="C10" s="7" t="s">
        <v>355</v>
      </c>
      <c r="D10" s="7" t="s">
        <v>356</v>
      </c>
      <c r="E10" s="7" t="s">
        <v>357</v>
      </c>
      <c r="F10" s="7" t="s">
        <v>358</v>
      </c>
      <c r="G10" s="14" t="n">
        <v>3250</v>
      </c>
      <c r="H10" s="23" t="n">
        <v>0.32</v>
      </c>
      <c r="I10" s="49"/>
      <c r="J10" s="12"/>
      <c r="K10" s="20" t="str">
        <f aca="false">IF(J10&gt;0,G10/J10,"n/a")</f>
        <v>n/a</v>
      </c>
      <c r="L10" s="7" t="s">
        <v>359</v>
      </c>
      <c r="M10" s="13" t="s">
        <v>360</v>
      </c>
    </row>
    <row r="11" customFormat="false" ht="15" hidden="false" customHeight="true" outlineLevel="0" collapsed="false">
      <c r="B11" s="7" t="s">
        <v>361</v>
      </c>
      <c r="C11" s="7" t="s">
        <v>362</v>
      </c>
      <c r="D11" s="7" t="s">
        <v>363</v>
      </c>
      <c r="E11" s="7" t="s">
        <v>328</v>
      </c>
      <c r="F11" s="7" t="s">
        <v>329</v>
      </c>
      <c r="G11" s="14" t="n">
        <v>19200</v>
      </c>
      <c r="H11" s="23" t="n">
        <v>0.3</v>
      </c>
      <c r="I11" s="49"/>
      <c r="J11" s="12"/>
      <c r="K11" s="20" t="str">
        <f aca="false">IF(J11&gt;0,G11/J11,"n/a")</f>
        <v>n/a</v>
      </c>
      <c r="L11" s="7" t="s">
        <v>364</v>
      </c>
      <c r="M11" s="13" t="s">
        <v>365</v>
      </c>
    </row>
    <row r="12" customFormat="false" ht="15" hidden="false" customHeight="true" outlineLevel="0" collapsed="false">
      <c r="B12" s="7" t="s">
        <v>366</v>
      </c>
      <c r="C12" s="7" t="s">
        <v>114</v>
      </c>
      <c r="D12" s="7" t="s">
        <v>367</v>
      </c>
      <c r="E12" s="7" t="s">
        <v>335</v>
      </c>
      <c r="F12" s="7" t="s">
        <v>329</v>
      </c>
      <c r="G12" s="14" t="n">
        <v>439</v>
      </c>
      <c r="H12" s="23" t="n">
        <v>0.23</v>
      </c>
      <c r="I12" s="49"/>
      <c r="J12" s="12"/>
      <c r="K12" s="20" t="str">
        <f aca="false">IF(J12&gt;0,G12/J12,"n/a")</f>
        <v>n/a</v>
      </c>
      <c r="L12" s="7" t="s">
        <v>368</v>
      </c>
      <c r="M12" s="13" t="s">
        <v>369</v>
      </c>
    </row>
    <row r="13" customFormat="false" ht="15" hidden="false" customHeight="true" outlineLevel="0" collapsed="false">
      <c r="B13" s="7" t="s">
        <v>370</v>
      </c>
      <c r="C13" s="7" t="s">
        <v>116</v>
      </c>
      <c r="D13" s="7" t="s">
        <v>371</v>
      </c>
      <c r="E13" s="7" t="s">
        <v>357</v>
      </c>
      <c r="F13" s="7" t="s">
        <v>358</v>
      </c>
      <c r="G13" s="14" t="n">
        <v>485</v>
      </c>
      <c r="H13" s="23" t="n">
        <v>0.39</v>
      </c>
      <c r="I13" s="49"/>
      <c r="J13" s="12"/>
      <c r="K13" s="20" t="str">
        <f aca="false">IF(J13&gt;0,G13/J13,"n/a")</f>
        <v>n/a</v>
      </c>
      <c r="L13" s="7" t="s">
        <v>368</v>
      </c>
      <c r="M13" s="13" t="s">
        <v>360</v>
      </c>
    </row>
    <row r="15" customFormat="false" ht="15" hidden="false" customHeight="true" outlineLevel="0" collapsed="false">
      <c r="B15" s="5" t="s">
        <v>372</v>
      </c>
      <c r="H15" s="50" t="n">
        <f aca="false">IFERROR(AVERAGE(H5:H13),"n/a")</f>
        <v>0.326666666666667</v>
      </c>
      <c r="I15" s="40" t="n">
        <f aca="false">IFERROR(AVERAGE(I5:I13),"n/a")</f>
        <v>1.26</v>
      </c>
      <c r="K15" s="51" t="n">
        <f aca="false">IFERROR(AVERAGE(K5:K13),"n/a")</f>
        <v>499.285714285714</v>
      </c>
    </row>
    <row r="16" customFormat="false" ht="15" hidden="false" customHeight="true" outlineLevel="0" collapsed="false">
      <c r="B16" s="5" t="s">
        <v>373</v>
      </c>
      <c r="H16" s="50" t="n">
        <f aca="false">IFERROR(MEDIAN(H5:H13),"n/a")</f>
        <v>0.31</v>
      </c>
      <c r="I16" s="40" t="n">
        <f aca="false">IFERROR(MEDIAN(I5:I13),"n/a")</f>
        <v>1.26</v>
      </c>
      <c r="K16" s="51" t="n">
        <f aca="false">IFERROR(MEDIAN(K5:K13),"n/a")</f>
        <v>499.285714285714</v>
      </c>
    </row>
    <row r="17" customFormat="false" ht="15" hidden="false" customHeight="true" outlineLevel="0" collapsed="false">
      <c r="B17" s="5" t="s">
        <v>374</v>
      </c>
      <c r="H17" s="50" t="n">
        <f aca="false">IFERROR(QUARTILE(H5:H13,1),"n/a")</f>
        <v>0.3</v>
      </c>
      <c r="I17" s="40" t="n">
        <f aca="false">IFERROR(QUARTILE(I5:I13,1),"n/a")</f>
        <v>1.26</v>
      </c>
      <c r="K17" s="51" t="n">
        <f aca="false">IFERROR(QUARTILE(K5:K13,1),"n/a")</f>
        <v>473.928571428571</v>
      </c>
    </row>
    <row r="18" customFormat="false" ht="15" hidden="false" customHeight="true" outlineLevel="0" collapsed="false">
      <c r="B18" s="5" t="s">
        <v>375</v>
      </c>
      <c r="H18" s="50" t="n">
        <f aca="false">IFERROR(QUARTILE(H5:H13,3),"n/a")</f>
        <v>0.37</v>
      </c>
      <c r="I18" s="40" t="n">
        <f aca="false">IFERROR(QUARTILE(I5:I13,3),"n/a")</f>
        <v>1.26</v>
      </c>
      <c r="K18" s="51" t="n">
        <f aca="false">IFERROR(QUARTILE(K5:K13,3),"n/a")</f>
        <v>524.642857142857</v>
      </c>
    </row>
    <row r="20" customFormat="false" ht="15" hidden="false" customHeight="true" outlineLevel="0" collapsed="false">
      <c r="B20" s="5" t="s">
        <v>376</v>
      </c>
    </row>
    <row r="21" customFormat="false" ht="15" hidden="false" customHeight="true" outlineLevel="0" collapsed="false">
      <c r="B21" s="13" t="s">
        <v>377</v>
      </c>
    </row>
    <row r="22" customFormat="false" ht="15" hidden="false" customHeight="true" outlineLevel="0" collapsed="false">
      <c r="B22" s="13" t="s">
        <v>378</v>
      </c>
    </row>
    <row r="23" customFormat="false" ht="15" hidden="false" customHeight="true" outlineLevel="0" collapsed="false">
      <c r="B23" s="13" t="s">
        <v>379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0"/>
    <col collapsed="false" customWidth="true" hidden="false" outlineLevel="0" max="3" min="3" style="1" width="14"/>
    <col collapsed="false" customWidth="true" hidden="false" outlineLevel="0" max="4" min="4" style="1" width="3"/>
    <col collapsed="false" customWidth="true" hidden="false" outlineLevel="0" max="5" min="5" style="1" width="110"/>
  </cols>
  <sheetData>
    <row r="1" customFormat="false" ht="17.25" hidden="false" customHeight="true" outlineLevel="0" collapsed="false">
      <c r="B1" s="2" t="s">
        <v>380</v>
      </c>
    </row>
    <row r="2" customFormat="false" ht="15" hidden="false" customHeight="true" outlineLevel="0" collapsed="false">
      <c r="B2" s="3" t="s">
        <v>381</v>
      </c>
    </row>
    <row r="4" customFormat="false" ht="15" hidden="false" customHeight="true" outlineLevel="0" collapsed="false">
      <c r="B4" s="4" t="s">
        <v>382</v>
      </c>
      <c r="C4" s="4" t="s">
        <v>383</v>
      </c>
      <c r="D4" s="4"/>
      <c r="E4" s="4" t="s">
        <v>384</v>
      </c>
    </row>
    <row r="5" customFormat="false" ht="15" hidden="false" customHeight="true" outlineLevel="0" collapsed="false">
      <c r="B5" s="6" t="s">
        <v>275</v>
      </c>
      <c r="C5" s="52" t="n">
        <v>45</v>
      </c>
      <c r="E5" s="13" t="s">
        <v>385</v>
      </c>
    </row>
    <row r="6" customFormat="false" ht="15" hidden="false" customHeight="true" outlineLevel="0" collapsed="false">
      <c r="B6" s="6" t="s">
        <v>386</v>
      </c>
      <c r="C6" s="52" t="n">
        <v>65</v>
      </c>
      <c r="E6" s="13" t="s">
        <v>387</v>
      </c>
    </row>
    <row r="7" customFormat="false" ht="15" hidden="false" customHeight="true" outlineLevel="0" collapsed="false">
      <c r="B7" s="6" t="s">
        <v>388</v>
      </c>
      <c r="C7" s="52" t="n">
        <v>45</v>
      </c>
      <c r="E7" s="13" t="s">
        <v>389</v>
      </c>
    </row>
    <row r="8" customFormat="false" ht="15" hidden="false" customHeight="true" outlineLevel="0" collapsed="false">
      <c r="B8" s="5" t="s">
        <v>390</v>
      </c>
      <c r="C8" s="32" t="n">
        <f aca="false">SUM(C5:C7)</f>
        <v>155</v>
      </c>
    </row>
    <row r="10" customFormat="false" ht="15" hidden="false" customHeight="true" outlineLevel="0" collapsed="false">
      <c r="B10" s="4" t="s">
        <v>391</v>
      </c>
      <c r="C10" s="4" t="s">
        <v>129</v>
      </c>
      <c r="D10" s="4"/>
      <c r="E10" s="4" t="s">
        <v>243</v>
      </c>
    </row>
    <row r="11" customFormat="false" ht="15" hidden="false" customHeight="true" outlineLevel="0" collapsed="false">
      <c r="B11" s="6" t="s">
        <v>392</v>
      </c>
      <c r="C11" s="30" t="n">
        <f aca="false">SYN_RUNRATE*DEAL_PHASE_Y1</f>
        <v>77.5</v>
      </c>
      <c r="E11" s="13" t="s">
        <v>393</v>
      </c>
    </row>
    <row r="12" customFormat="false" ht="15" hidden="false" customHeight="true" outlineLevel="0" collapsed="false">
      <c r="B12" s="6" t="s">
        <v>394</v>
      </c>
      <c r="C12" s="30" t="n">
        <f aca="false">SYN_RUNRATE*DEAL_PHASE_Y2</f>
        <v>155</v>
      </c>
      <c r="E12" s="13" t="s">
        <v>395</v>
      </c>
    </row>
    <row r="13" customFormat="false" ht="15" hidden="false" customHeight="true" outlineLevel="0" collapsed="false">
      <c r="B13" s="6" t="s">
        <v>396</v>
      </c>
      <c r="C13" s="30" t="n">
        <f aca="false">SYN_RUNRATE*DEAL_INTEGRATION_X</f>
        <v>155</v>
      </c>
      <c r="E13" s="13" t="s">
        <v>397</v>
      </c>
    </row>
    <row r="14" customFormat="false" ht="15" hidden="false" customHeight="true" outlineLevel="0" collapsed="false">
      <c r="B14" s="5" t="s">
        <v>398</v>
      </c>
      <c r="C14" s="31" t="n">
        <f aca="false">SYN_RUNRATE*(1-DEAL_TAX)*((1-(1+DEAL_SYN_RATE)^-DEAL_SYN_YEARS)/DEAL_SYN_RATE)*(1+DEAL_SYN_RATE)^0.5-SYN_RUNRATE*(1-DEAL_PHASE_Y1)*(1-DEAL_TAX)/(1+DEAL_SYN_RATE)^0.5-SYN_INTEGRATION</f>
        <v>629.614643666433</v>
      </c>
      <c r="E14" s="13" t="s">
        <v>399</v>
      </c>
    </row>
    <row r="15" customFormat="false" ht="15" hidden="false" customHeight="true" outlineLevel="0" collapsed="false">
      <c r="B15" s="6" t="s">
        <v>400</v>
      </c>
      <c r="C15" s="19" t="n">
        <f aca="false">SYN_NPV/PF_SHARES</f>
        <v>1.80136047211787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6"/>
    <col collapsed="false" customWidth="true" hidden="false" outlineLevel="0" max="5" min="3" style="1" width="14"/>
    <col collapsed="false" customWidth="true" hidden="false" outlineLevel="0" max="6" min="6" style="1" width="70"/>
  </cols>
  <sheetData>
    <row r="1" customFormat="false" ht="17.25" hidden="false" customHeight="true" outlineLevel="0" collapsed="false">
      <c r="B1" s="2" t="s">
        <v>401</v>
      </c>
    </row>
    <row r="2" customFormat="false" ht="15" hidden="false" customHeight="true" outlineLevel="0" collapsed="false">
      <c r="B2" s="3" t="s">
        <v>402</v>
      </c>
    </row>
    <row r="4" customFormat="false" ht="15" hidden="false" customHeight="true" outlineLevel="0" collapsed="false">
      <c r="B4" s="4" t="s">
        <v>403</v>
      </c>
      <c r="C4" s="4" t="s">
        <v>129</v>
      </c>
      <c r="D4" s="4"/>
      <c r="E4" s="4"/>
      <c r="F4" s="4" t="s">
        <v>243</v>
      </c>
    </row>
    <row r="5" customFormat="false" ht="15" hidden="false" customHeight="true" outlineLevel="0" collapsed="false">
      <c r="B5" s="6" t="s">
        <v>404</v>
      </c>
      <c r="C5" s="21" t="n">
        <v>0.3</v>
      </c>
      <c r="E5" s="13" t="s">
        <v>405</v>
      </c>
    </row>
    <row r="6" customFormat="false" ht="15" hidden="false" customHeight="true" outlineLevel="0" collapsed="false">
      <c r="B6" s="6" t="s">
        <v>406</v>
      </c>
      <c r="C6" s="16" t="n">
        <v>2</v>
      </c>
      <c r="E6" s="13" t="s">
        <v>407</v>
      </c>
    </row>
    <row r="7" customFormat="false" ht="15" hidden="false" customHeight="true" outlineLevel="0" collapsed="false">
      <c r="B7" s="6" t="s">
        <v>408</v>
      </c>
      <c r="C7" s="21" t="n">
        <v>0.25</v>
      </c>
      <c r="E7" s="13" t="s">
        <v>409</v>
      </c>
    </row>
    <row r="8" customFormat="false" ht="15" hidden="false" customHeight="true" outlineLevel="0" collapsed="false">
      <c r="B8" s="6" t="s">
        <v>410</v>
      </c>
      <c r="C8" s="24" t="n">
        <v>250</v>
      </c>
      <c r="E8" s="13" t="s">
        <v>411</v>
      </c>
    </row>
    <row r="9" customFormat="false" ht="15" hidden="false" customHeight="true" outlineLevel="0" collapsed="false">
      <c r="B9" s="6" t="s">
        <v>412</v>
      </c>
      <c r="C9" s="23" t="n">
        <v>0.06</v>
      </c>
      <c r="E9" s="13" t="s">
        <v>413</v>
      </c>
    </row>
    <row r="10" customFormat="false" ht="15" hidden="false" customHeight="true" outlineLevel="0" collapsed="false">
      <c r="B10" s="6" t="s">
        <v>414</v>
      </c>
      <c r="C10" s="23" t="n">
        <v>0.035</v>
      </c>
      <c r="E10" s="13" t="s">
        <v>415</v>
      </c>
    </row>
    <row r="11" customFormat="false" ht="15" hidden="false" customHeight="true" outlineLevel="0" collapsed="false">
      <c r="B11" s="6" t="s">
        <v>416</v>
      </c>
      <c r="C11" s="24" t="n">
        <v>60</v>
      </c>
      <c r="E11" s="13" t="s">
        <v>417</v>
      </c>
    </row>
    <row r="12" customFormat="false" ht="15" hidden="false" customHeight="true" outlineLevel="0" collapsed="false">
      <c r="B12" s="6" t="s">
        <v>418</v>
      </c>
      <c r="C12" s="23" t="n">
        <v>0.27</v>
      </c>
      <c r="E12" s="13" t="s">
        <v>419</v>
      </c>
    </row>
    <row r="13" customFormat="false" ht="15" hidden="false" customHeight="true" outlineLevel="0" collapsed="false">
      <c r="B13" s="6" t="s">
        <v>420</v>
      </c>
      <c r="C13" s="23" t="n">
        <v>0.5</v>
      </c>
      <c r="E13" s="13" t="s">
        <v>421</v>
      </c>
    </row>
    <row r="14" customFormat="false" ht="15" hidden="false" customHeight="true" outlineLevel="0" collapsed="false">
      <c r="B14" s="6" t="s">
        <v>422</v>
      </c>
      <c r="C14" s="23" t="n">
        <v>1</v>
      </c>
      <c r="E14" s="13" t="s">
        <v>423</v>
      </c>
    </row>
    <row r="15" customFormat="false" ht="15" hidden="false" customHeight="true" outlineLevel="0" collapsed="false">
      <c r="B15" s="6" t="s">
        <v>424</v>
      </c>
      <c r="C15" s="49" t="n">
        <v>1</v>
      </c>
      <c r="E15" s="13" t="s">
        <v>425</v>
      </c>
    </row>
    <row r="16" customFormat="false" ht="15" hidden="false" customHeight="true" outlineLevel="0" collapsed="false">
      <c r="B16" s="6" t="s">
        <v>426</v>
      </c>
      <c r="C16" s="22" t="n">
        <v>10</v>
      </c>
      <c r="E16" s="13" t="s">
        <v>427</v>
      </c>
    </row>
    <row r="17" customFormat="false" ht="15" hidden="false" customHeight="true" outlineLevel="0" collapsed="false">
      <c r="B17" s="6" t="s">
        <v>428</v>
      </c>
      <c r="C17" s="23" t="n">
        <v>0.065</v>
      </c>
      <c r="E17" s="13" t="s">
        <v>429</v>
      </c>
    </row>
    <row r="19" customFormat="false" ht="15" hidden="false" customHeight="true" outlineLevel="0" collapsed="false">
      <c r="B19" s="4" t="s">
        <v>430</v>
      </c>
      <c r="C19" s="4" t="s">
        <v>129</v>
      </c>
      <c r="D19" s="4"/>
      <c r="E19" s="4"/>
      <c r="F19" s="4" t="s">
        <v>243</v>
      </c>
    </row>
    <row r="20" customFormat="false" ht="15" hidden="false" customHeight="true" outlineLevel="0" collapsed="false">
      <c r="B20" s="6" t="s">
        <v>431</v>
      </c>
      <c r="C20" s="28" t="n">
        <f aca="false">ERO_PRICE_CAD</f>
        <v>42.03</v>
      </c>
      <c r="E20" s="13" t="s">
        <v>258</v>
      </c>
    </row>
    <row r="21" customFormat="false" ht="15" hidden="false" customHeight="true" outlineLevel="0" collapsed="false">
      <c r="B21" s="5" t="s">
        <v>432</v>
      </c>
      <c r="C21" s="37" t="n">
        <f aca="false">DEAL_UNAFFECTED*(1+DEAL_PREMIUM)</f>
        <v>54.639</v>
      </c>
    </row>
    <row r="22" customFormat="false" ht="15" hidden="false" customHeight="true" outlineLevel="0" collapsed="false">
      <c r="B22" s="6" t="s">
        <v>433</v>
      </c>
      <c r="C22" s="53" t="n">
        <f aca="false">IF(DEAL_CASE=1,0,DEAL_CASH_PCT_INPUT)</f>
        <v>0.25</v>
      </c>
    </row>
    <row r="23" customFormat="false" ht="15" hidden="false" customHeight="true" outlineLevel="0" collapsed="false">
      <c r="B23" s="6" t="s">
        <v>434</v>
      </c>
      <c r="C23" s="19" t="n">
        <f aca="false">DEAL_OFFER_CAD*DEAL_CASH_PCT</f>
        <v>13.65975</v>
      </c>
    </row>
    <row r="24" customFormat="false" ht="15" hidden="false" customHeight="true" outlineLevel="0" collapsed="false">
      <c r="B24" s="5" t="s">
        <v>435</v>
      </c>
      <c r="C24" s="54" t="n">
        <f aca="false">DEAL_OFFER_CAD*(1-DEAL_CASH_PCT)/CG_PRICE_CAD</f>
        <v>1.44700741525424</v>
      </c>
      <c r="E24" s="13" t="s">
        <v>436</v>
      </c>
    </row>
    <row r="25" customFormat="false" ht="15" hidden="false" customHeight="true" outlineLevel="0" collapsed="false">
      <c r="B25" s="6" t="s">
        <v>437</v>
      </c>
      <c r="C25" s="30" t="n">
        <f aca="false">ERO_SHARES*DEAL_ER</f>
        <v>150.926683381541</v>
      </c>
    </row>
    <row r="26" customFormat="false" ht="15" hidden="false" customHeight="true" outlineLevel="0" collapsed="false">
      <c r="B26" s="5" t="s">
        <v>438</v>
      </c>
      <c r="C26" s="31" t="n">
        <f aca="false">DEAL_OFFER_CAD*ERO_SHARES*FX_SPOT</f>
        <v>4069.64987620017</v>
      </c>
      <c r="E26" s="13" t="s">
        <v>439</v>
      </c>
    </row>
    <row r="27" customFormat="false" ht="15" hidden="false" customHeight="true" outlineLevel="0" collapsed="false">
      <c r="B27" s="6" t="s">
        <v>440</v>
      </c>
      <c r="C27" s="30" t="n">
        <f aca="false">DEAL_EQUITY_USD*DEAL_CASH_PCT</f>
        <v>1017.41246905004</v>
      </c>
    </row>
    <row r="28" customFormat="false" ht="15" hidden="false" customHeight="true" outlineLevel="0" collapsed="false">
      <c r="B28" s="6" t="s">
        <v>441</v>
      </c>
      <c r="C28" s="30" t="n">
        <f aca="false">DEAL_EQUITY_USD-DEAL_CASH_USD</f>
        <v>3052.23740715013</v>
      </c>
    </row>
    <row r="29" customFormat="false" ht="15" hidden="false" customHeight="true" outlineLevel="0" collapsed="false">
      <c r="B29" s="6" t="s">
        <v>442</v>
      </c>
      <c r="C29" s="30" t="n">
        <f aca="false">-(ERO_DEBT+ERO_CASH)</f>
        <v>471.613008</v>
      </c>
      <c r="E29" s="13" t="s">
        <v>443</v>
      </c>
    </row>
    <row r="30" customFormat="false" ht="15" hidden="false" customHeight="true" outlineLevel="0" collapsed="false">
      <c r="B30" s="5" t="s">
        <v>444</v>
      </c>
      <c r="C30" s="31" t="n">
        <f aca="false">DEAL_EQUITY_USD+DEAL_NET_DEBT</f>
        <v>4541.26288420017</v>
      </c>
    </row>
    <row r="31" customFormat="false" ht="15" hidden="false" customHeight="true" outlineLevel="0" collapsed="false">
      <c r="B31" s="6" t="s">
        <v>445</v>
      </c>
      <c r="C31" s="48" t="n">
        <f aca="false">DEAL_OFFER_CAD/ERO_NAVPS_CAD</f>
        <v>3.06908497159015</v>
      </c>
      <c r="E31" s="13" t="s">
        <v>446</v>
      </c>
    </row>
    <row r="32" customFormat="false" ht="15" hidden="false" customHeight="true" outlineLevel="0" collapsed="false">
      <c r="B32" s="6" t="s">
        <v>447</v>
      </c>
      <c r="C32" s="48" t="n">
        <f aca="false">DEAL_EV_USD/ERO_EBITDA_2027</f>
        <v>7.98823178336806</v>
      </c>
    </row>
    <row r="33" customFormat="false" ht="15" hidden="false" customHeight="true" outlineLevel="0" collapsed="false">
      <c r="B33" s="6" t="s">
        <v>448</v>
      </c>
      <c r="C33" s="30" t="n">
        <f aca="false">DEAL_CASH_USD+DEAL_TXN_COSTS</f>
        <v>1077.41246905004</v>
      </c>
    </row>
    <row r="34" customFormat="false" ht="15" hidden="false" customHeight="true" outlineLevel="0" collapsed="false">
      <c r="B34" s="6" t="s">
        <v>449</v>
      </c>
      <c r="C34" s="30" t="n">
        <f aca="false">MIN(DEAL_CASH_NEED,MAX(0,CG_CASH+ERO_CASH-DEAL_MIN_CASH))</f>
        <v>304.845008</v>
      </c>
      <c r="E34" s="13" t="s">
        <v>450</v>
      </c>
    </row>
    <row r="35" customFormat="false" ht="15" hidden="false" customHeight="true" outlineLevel="0" collapsed="false">
      <c r="B35" s="6" t="s">
        <v>451</v>
      </c>
      <c r="C35" s="30" t="n">
        <f aca="false">DEAL_CASH_NEED-DEAL_CASH_USED</f>
        <v>772.567461050042</v>
      </c>
    </row>
    <row r="37" customFormat="false" ht="15" hidden="false" customHeight="true" outlineLevel="0" collapsed="false">
      <c r="B37" s="4" t="s">
        <v>452</v>
      </c>
      <c r="C37" s="4" t="s">
        <v>129</v>
      </c>
      <c r="D37" s="4"/>
      <c r="E37" s="4"/>
      <c r="F37" s="4"/>
    </row>
    <row r="38" customFormat="false" ht="15" hidden="false" customHeight="true" outlineLevel="0" collapsed="false">
      <c r="B38" s="6" t="s">
        <v>453</v>
      </c>
      <c r="C38" s="38" t="n">
        <f aca="false">CG_SHARES</f>
        <v>198.595055</v>
      </c>
    </row>
    <row r="39" customFormat="false" ht="15" hidden="false" customHeight="true" outlineLevel="0" collapsed="false">
      <c r="B39" s="5" t="s">
        <v>454</v>
      </c>
      <c r="C39" s="31" t="n">
        <f aca="false">CG_SHARES+DEAL_NEW_SHARES</f>
        <v>349.521738381541</v>
      </c>
    </row>
    <row r="40" customFormat="false" ht="15" hidden="false" customHeight="true" outlineLevel="0" collapsed="false">
      <c r="B40" s="6" t="s">
        <v>455</v>
      </c>
      <c r="C40" s="53" t="n">
        <f aca="false">CG_SHARES/PF_SHARES</f>
        <v>0.568190853935419</v>
      </c>
    </row>
    <row r="41" customFormat="false" ht="15" hidden="false" customHeight="true" outlineLevel="0" collapsed="false">
      <c r="B41" s="6" t="s">
        <v>456</v>
      </c>
      <c r="C41" s="53" t="n">
        <f aca="false">DEAL_NEW_SHARES/PF_SHARES</f>
        <v>0.431809146064581</v>
      </c>
    </row>
    <row r="43" customFormat="false" ht="15" hidden="false" customHeight="true" outlineLevel="0" collapsed="false">
      <c r="B43" s="4" t="s">
        <v>457</v>
      </c>
      <c r="C43" s="4" t="s">
        <v>421</v>
      </c>
      <c r="D43" s="4" t="s">
        <v>458</v>
      </c>
      <c r="E43" s="4"/>
      <c r="F43" s="4" t="s">
        <v>243</v>
      </c>
    </row>
    <row r="44" customFormat="false" ht="15" hidden="false" customHeight="true" outlineLevel="0" collapsed="false">
      <c r="B44" s="6" t="s">
        <v>459</v>
      </c>
      <c r="C44" s="38" t="n">
        <f aca="false">CG_NI_2027</f>
        <v>222.789101092642</v>
      </c>
      <c r="D44" s="38" t="n">
        <f aca="false">CG_NI_2028</f>
        <v>158.150474989053</v>
      </c>
    </row>
    <row r="45" customFormat="false" ht="15" hidden="false" customHeight="true" outlineLevel="0" collapsed="false">
      <c r="B45" s="6" t="s">
        <v>460</v>
      </c>
      <c r="C45" s="38" t="n">
        <f aca="false">ERO_NI_2027</f>
        <v>284.980844212524</v>
      </c>
      <c r="D45" s="38" t="n">
        <f aca="false">ERO_NI_2028</f>
        <v>215.770669746305</v>
      </c>
    </row>
    <row r="46" customFormat="false" ht="15" hidden="false" customHeight="true" outlineLevel="0" collapsed="false">
      <c r="B46" s="6" t="s">
        <v>461</v>
      </c>
      <c r="C46" s="38" t="n">
        <f aca="false">SYN_2027</f>
        <v>77.5</v>
      </c>
      <c r="D46" s="38" t="n">
        <f aca="false">SYN_2028</f>
        <v>155</v>
      </c>
    </row>
    <row r="47" customFormat="false" ht="15" hidden="false" customHeight="true" outlineLevel="0" collapsed="false">
      <c r="B47" s="6" t="s">
        <v>462</v>
      </c>
      <c r="C47" s="30" t="n">
        <f aca="false">PF_SYN_2027*(1-DEAL_TAX)</f>
        <v>56.575</v>
      </c>
      <c r="D47" s="30" t="n">
        <f aca="false">PF_SYN_2028*(1-DEAL_TAX)</f>
        <v>113.15</v>
      </c>
    </row>
    <row r="48" customFormat="false" ht="15" hidden="false" customHeight="true" outlineLevel="0" collapsed="false">
      <c r="B48" s="6" t="s">
        <v>463</v>
      </c>
      <c r="C48" s="30" t="n">
        <f aca="false">-DEAL_NEW_DEBT*DEAL_DEBT_RATE*(1-DEAL_TAX)</f>
        <v>-33.8384547939918</v>
      </c>
      <c r="D48" s="30" t="n">
        <f aca="false">-DEAL_NEW_DEBT*DEAL_DEBT_RATE*(1-DEAL_TAX)</f>
        <v>-33.8384547939918</v>
      </c>
    </row>
    <row r="49" customFormat="false" ht="15" hidden="false" customHeight="true" outlineLevel="0" collapsed="false">
      <c r="B49" s="6" t="s">
        <v>464</v>
      </c>
      <c r="C49" s="30" t="n">
        <f aca="false">-DEAL_CASH_USED*DEAL_CASH_YIELD*(1-DEAL_TAX)</f>
        <v>-7.7887899544</v>
      </c>
      <c r="D49" s="30" t="n">
        <f aca="false">-DEAL_CASH_USED*DEAL_CASH_YIELD*(1-DEAL_TAX)</f>
        <v>-7.7887899544</v>
      </c>
    </row>
    <row r="50" customFormat="false" ht="15" hidden="false" customHeight="true" outlineLevel="0" collapsed="false">
      <c r="B50" s="5" t="s">
        <v>465</v>
      </c>
      <c r="C50" s="32" t="n">
        <f aca="false">SA_NI_2027+ERO_NI_2027+PF_SYN_AT_2027+PF_DEBT_COST_2027+PF_CASH_COST_2027</f>
        <v>522.717700556774</v>
      </c>
      <c r="D50" s="32" t="n">
        <f aca="false">SA_NI_2028+ERO_NI_2028+PF_SYN_AT_2028+PF_DEBT_COST_2028+PF_CASH_COST_2028</f>
        <v>445.443899986966</v>
      </c>
      <c r="F50" s="13" t="s">
        <v>466</v>
      </c>
    </row>
    <row r="51" customFormat="false" ht="15" hidden="false" customHeight="true" outlineLevel="0" collapsed="false">
      <c r="B51" s="6" t="s">
        <v>467</v>
      </c>
      <c r="C51" s="28" t="n">
        <f aca="false">CG_EPS_2027</f>
        <v>1.12182602478517</v>
      </c>
      <c r="D51" s="28" t="n">
        <f aca="false">CG_EPS_2028</f>
        <v>0.796346490042529</v>
      </c>
    </row>
    <row r="52" customFormat="false" ht="15" hidden="false" customHeight="true" outlineLevel="0" collapsed="false">
      <c r="B52" s="5" t="s">
        <v>468</v>
      </c>
      <c r="C52" s="39" t="n">
        <f aca="false">PF_NI_2027/PF_SHARES</f>
        <v>1.49552271906525</v>
      </c>
      <c r="D52" s="39" t="n">
        <f aca="false">PF_NI_2028/PF_SHARES</f>
        <v>1.27443832835575</v>
      </c>
    </row>
    <row r="53" customFormat="false" ht="15" hidden="false" customHeight="true" outlineLevel="0" collapsed="false">
      <c r="B53" s="5" t="s">
        <v>469</v>
      </c>
      <c r="C53" s="50" t="n">
        <f aca="false">PF_EPS_2027/CG_EPS_2027-1</f>
        <v>0.33311465951384</v>
      </c>
      <c r="D53" s="50" t="n">
        <f aca="false">PF_EPS_2028/CG_EPS_2028-1</f>
        <v>0.600356558723182</v>
      </c>
    </row>
    <row r="54" customFormat="false" ht="15" hidden="false" customHeight="true" outlineLevel="0" collapsed="false">
      <c r="B54" s="6" t="s">
        <v>470</v>
      </c>
      <c r="C54" s="30" t="n">
        <f aca="false">CG_CFO_2027+ERO_CFO_2027+PF_SYN_AT_2027+PF_DEBT_COST_2027+PF_CASH_COST_2027</f>
        <v>863.547401960254</v>
      </c>
      <c r="D54" s="30" t="n">
        <f aca="false">CG_CFO_2028+ERO_CFO_2028+PF_SYN_AT_2028+PF_DEBT_COST_2028+PF_CASH_COST_2028</f>
        <v>787.594316835964</v>
      </c>
    </row>
    <row r="55" customFormat="false" ht="15" hidden="false" customHeight="true" outlineLevel="0" collapsed="false">
      <c r="B55" s="6" t="s">
        <v>471</v>
      </c>
      <c r="C55" s="28" t="n">
        <f aca="false">CG_CFPS_2027</f>
        <v>1.98350565986725</v>
      </c>
      <c r="D55" s="28" t="n">
        <f aca="false">CG_CFPS_2028</f>
        <v>1.69916214627676</v>
      </c>
    </row>
    <row r="56" customFormat="false" ht="15" hidden="false" customHeight="true" outlineLevel="0" collapsed="false">
      <c r="B56" s="5" t="s">
        <v>472</v>
      </c>
      <c r="C56" s="39" t="n">
        <f aca="false">PF_CFO_2027/PF_SHARES</f>
        <v>2.47065434601838</v>
      </c>
      <c r="D56" s="39" t="n">
        <f aca="false">PF_CFO_2028/PF_SHARES</f>
        <v>2.25334859137207</v>
      </c>
    </row>
    <row r="57" customFormat="false" ht="15" hidden="false" customHeight="true" outlineLevel="0" collapsed="false">
      <c r="B57" s="5" t="s">
        <v>473</v>
      </c>
      <c r="C57" s="50" t="n">
        <f aca="false">PF_CFPS_2027/CG_CFPS_2027-1</f>
        <v>0.245599846780237</v>
      </c>
      <c r="D57" s="50" t="n">
        <f aca="false">PF_CFPS_2028/CG_CFPS_2028-1</f>
        <v>0.326152772594222</v>
      </c>
    </row>
    <row r="58" customFormat="false" ht="15" hidden="false" customHeight="true" outlineLevel="0" collapsed="false">
      <c r="B58" s="6" t="s">
        <v>474</v>
      </c>
      <c r="C58" s="30" t="n">
        <f aca="false">CG_EBITDA_2027+ERO_EBITDA_2027+PF_SYN_2027</f>
        <v>1148.16915785877</v>
      </c>
      <c r="D58" s="30" t="n">
        <f aca="false">CG_EBITDA_2028+ERO_EBITDA_2028+PF_SYN_2028</f>
        <v>1064.38057018768</v>
      </c>
    </row>
    <row r="60" customFormat="false" ht="15" hidden="false" customHeight="true" outlineLevel="0" collapsed="false">
      <c r="B60" s="4" t="s">
        <v>475</v>
      </c>
      <c r="C60" s="4" t="s">
        <v>129</v>
      </c>
      <c r="D60" s="4"/>
      <c r="E60" s="4"/>
      <c r="F60" s="4" t="s">
        <v>243</v>
      </c>
    </row>
    <row r="61" customFormat="false" ht="15" hidden="false" customHeight="true" outlineLevel="0" collapsed="false">
      <c r="B61" s="6" t="s">
        <v>476</v>
      </c>
      <c r="C61" s="38" t="n">
        <f aca="false">CG_NAV</f>
        <v>1686.27142636312</v>
      </c>
    </row>
    <row r="62" customFormat="false" ht="15" hidden="false" customHeight="true" outlineLevel="0" collapsed="false">
      <c r="B62" s="6" t="s">
        <v>477</v>
      </c>
      <c r="C62" s="38" t="n">
        <f aca="false">ERO_NAV</f>
        <v>1326.01407711811</v>
      </c>
    </row>
    <row r="63" customFormat="false" ht="15" hidden="false" customHeight="true" outlineLevel="0" collapsed="false">
      <c r="B63" s="6" t="s">
        <v>478</v>
      </c>
      <c r="C63" s="38" t="n">
        <f aca="false">SYN_NPV</f>
        <v>629.614643666433</v>
      </c>
    </row>
    <row r="64" customFormat="false" ht="15" hidden="false" customHeight="true" outlineLevel="0" collapsed="false">
      <c r="B64" s="6" t="s">
        <v>479</v>
      </c>
      <c r="C64" s="30" t="n">
        <f aca="false">-DEAL_CASH_NEED</f>
        <v>-1077.41246905004</v>
      </c>
      <c r="E64" s="13" t="s">
        <v>480</v>
      </c>
    </row>
    <row r="65" customFormat="false" ht="15" hidden="false" customHeight="true" outlineLevel="0" collapsed="false">
      <c r="B65" s="5" t="s">
        <v>481</v>
      </c>
      <c r="C65" s="31" t="n">
        <f aca="false">CG_NAV+ERO_NAV+SYN_NPV-DEAL_CASH_NEED</f>
        <v>2564.48767809762</v>
      </c>
    </row>
    <row r="66" customFormat="false" ht="15" hidden="false" customHeight="true" outlineLevel="0" collapsed="false">
      <c r="B66" s="5" t="s">
        <v>482</v>
      </c>
      <c r="C66" s="37" t="n">
        <f aca="false">PF_NAV/PF_SHARES</f>
        <v>7.33713356420253</v>
      </c>
    </row>
    <row r="67" customFormat="false" ht="15" hidden="false" customHeight="true" outlineLevel="0" collapsed="false">
      <c r="B67" s="6" t="s">
        <v>483</v>
      </c>
      <c r="C67" s="28" t="n">
        <f aca="false">CG_NAVPS_USD</f>
        <v>8.49100410059618</v>
      </c>
    </row>
    <row r="68" customFormat="false" ht="15" hidden="false" customHeight="true" outlineLevel="0" collapsed="false">
      <c r="B68" s="5" t="s">
        <v>484</v>
      </c>
      <c r="C68" s="55" t="n">
        <f aca="false">PF_NAVPS/CG_NAVPS_USD-1</f>
        <v>-0.135893296331423</v>
      </c>
      <c r="E68" s="13" t="s">
        <v>485</v>
      </c>
    </row>
    <row r="69" customFormat="false" ht="15" hidden="false" customHeight="true" outlineLevel="0" collapsed="false">
      <c r="B69" s="6" t="s">
        <v>486</v>
      </c>
      <c r="C69" s="53" t="n">
        <f aca="false">(CG_NAV+ERO_NAV-DEAL_CASH_NEED)/PF_SHARES/CG_NAVPS_USD-1</f>
        <v>-0.348042584068947</v>
      </c>
    </row>
    <row r="70" customFormat="false" ht="15" hidden="false" customHeight="true" outlineLevel="0" collapsed="false">
      <c r="B70" s="6" t="s">
        <v>487</v>
      </c>
      <c r="C70" s="30" t="n">
        <f aca="false">-(CG_CASH+ERO_CASH+CG_DEBT+ERO_DEBT)+DEAL_CASH_NEED</f>
        <v>1141.68446905004</v>
      </c>
      <c r="E70" s="13" t="s">
        <v>488</v>
      </c>
    </row>
    <row r="71" customFormat="false" ht="15" hidden="false" customHeight="true" outlineLevel="0" collapsed="false">
      <c r="B71" s="5" t="s">
        <v>489</v>
      </c>
      <c r="C71" s="56" t="n">
        <f aca="false">PF_NET_DEBT/PF_EBITDA_2027</f>
        <v>0.9943521485799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8"/>
    <col collapsed="false" customWidth="true" hidden="false" outlineLevel="0" max="6" min="3" style="1" width="14"/>
  </cols>
  <sheetData>
    <row r="1" customFormat="false" ht="17.25" hidden="false" customHeight="true" outlineLevel="0" collapsed="false">
      <c r="B1" s="2" t="s">
        <v>490</v>
      </c>
    </row>
    <row r="2" customFormat="false" ht="15" hidden="false" customHeight="true" outlineLevel="0" collapsed="false">
      <c r="B2" s="3" t="s">
        <v>491</v>
      </c>
    </row>
    <row r="4" customFormat="false" ht="15" hidden="false" customHeight="true" outlineLevel="0" collapsed="false">
      <c r="B4" s="4" t="s">
        <v>492</v>
      </c>
      <c r="C4" s="4" t="s">
        <v>493</v>
      </c>
      <c r="D4" s="4" t="s">
        <v>494</v>
      </c>
      <c r="E4" s="4" t="s">
        <v>495</v>
      </c>
      <c r="F4" s="4" t="s">
        <v>496</v>
      </c>
    </row>
    <row r="5" customFormat="false" ht="15" hidden="false" customHeight="true" outlineLevel="0" collapsed="false">
      <c r="B5" s="6" t="s">
        <v>497</v>
      </c>
      <c r="C5" s="29" t="n">
        <f aca="false">CG_NAV</f>
        <v>1686.27142636312</v>
      </c>
      <c r="D5" s="29" t="n">
        <f aca="false">ERO_NAV</f>
        <v>1326.01407711811</v>
      </c>
      <c r="E5" s="53" t="n">
        <f aca="false">C5/(C5+D5)</f>
        <v>0.55979800865965</v>
      </c>
      <c r="F5" s="53" t="n">
        <f aca="false">D5/(C5+D5)</f>
        <v>0.44020199134035</v>
      </c>
    </row>
    <row r="6" customFormat="false" ht="15" hidden="false" customHeight="true" outlineLevel="0" collapsed="false">
      <c r="B6" s="6" t="s">
        <v>498</v>
      </c>
      <c r="C6" s="29" t="n">
        <f aca="false">CG_SHARES*CG_PRICE_CAD*FX_SPOT</f>
        <v>4016.24975892216</v>
      </c>
      <c r="D6" s="29" t="n">
        <f aca="false">ERO_SHARES*ERO_PRICE_CAD*FX_SPOT</f>
        <v>3130.49990476936</v>
      </c>
      <c r="E6" s="53" t="n">
        <f aca="false">C6/(C6+D6)</f>
        <v>0.561968719756114</v>
      </c>
      <c r="F6" s="53" t="n">
        <f aca="false">D6/(C6+D6)</f>
        <v>0.438031280243886</v>
      </c>
    </row>
    <row r="7" customFormat="false" ht="15" hidden="false" customHeight="true" outlineLevel="0" collapsed="false">
      <c r="B7" s="6" t="s">
        <v>499</v>
      </c>
      <c r="C7" s="29" t="n">
        <f aca="false">CG_EBITDA_2027</f>
        <v>502.175027073114</v>
      </c>
      <c r="D7" s="29" t="n">
        <f aca="false">ERO_EBITDA_2027</f>
        <v>568.494130785655</v>
      </c>
      <c r="E7" s="53" t="n">
        <f aca="false">C7/(C7+D7)</f>
        <v>0.469029133217411</v>
      </c>
      <c r="F7" s="53" t="n">
        <f aca="false">D7/(C7+D7)</f>
        <v>0.530970866782589</v>
      </c>
    </row>
    <row r="8" customFormat="false" ht="15" hidden="false" customHeight="true" outlineLevel="0" collapsed="false">
      <c r="B8" s="6" t="s">
        <v>500</v>
      </c>
      <c r="C8" s="29" t="n">
        <f aca="false">CG_EBITDA_2028</f>
        <v>422.399157484796</v>
      </c>
      <c r="D8" s="29" t="n">
        <f aca="false">ERO_EBITDA_2028</f>
        <v>486.981412702881</v>
      </c>
      <c r="E8" s="53" t="n">
        <f aca="false">C8/(C8+D8)</f>
        <v>0.464491073740031</v>
      </c>
      <c r="F8" s="53" t="n">
        <f aca="false">D8/(C8+D8)</f>
        <v>0.535508926259969</v>
      </c>
    </row>
    <row r="9" customFormat="false" ht="15" hidden="false" customHeight="true" outlineLevel="0" collapsed="false">
      <c r="B9" s="6" t="s">
        <v>501</v>
      </c>
      <c r="C9" s="29" t="n">
        <f aca="false">CG_CFO_2027</f>
        <v>393.914415614148</v>
      </c>
      <c r="D9" s="29" t="n">
        <f aca="false">ERO_CFO_2027</f>
        <v>454.685231094498</v>
      </c>
      <c r="E9" s="53" t="n">
        <f aca="false">C9/(C9+D9)</f>
        <v>0.464193471140334</v>
      </c>
      <c r="F9" s="53" t="n">
        <f aca="false">D9/(C9+D9)</f>
        <v>0.535806528859666</v>
      </c>
    </row>
    <row r="10" customFormat="false" ht="15" hidden="false" customHeight="true" outlineLevel="0" collapsed="false">
      <c r="B10" s="6" t="s">
        <v>502</v>
      </c>
      <c r="C10" s="29" t="n">
        <f aca="false">CG_NI_2027</f>
        <v>222.789101092642</v>
      </c>
      <c r="D10" s="29" t="n">
        <f aca="false">ERO_NI_2027</f>
        <v>284.980844212524</v>
      </c>
      <c r="E10" s="53" t="n">
        <f aca="false">C10/(C10+D10)</f>
        <v>0.438759921008613</v>
      </c>
      <c r="F10" s="53" t="n">
        <f aca="false">D10/(C10+D10)</f>
        <v>0.561240078991387</v>
      </c>
    </row>
    <row r="11" customFormat="false" ht="15" hidden="false" customHeight="true" outlineLevel="0" collapsed="false">
      <c r="B11" s="6" t="s">
        <v>503</v>
      </c>
      <c r="C11" s="29" t="n">
        <f aca="false">Corporate_NAV!$C$27+Corporate_NAV!$C$26*1000/(Inputs!$AC$17/Inputs!$AC$16)</f>
        <v>323.853670122921</v>
      </c>
      <c r="D11" s="29" t="n">
        <f aca="false">Corporate_NAV!$E$27+Corporate_NAV!$E$26*1000/(Inputs!$AC$17/Inputs!$AC$16)</f>
        <v>255.432960896049</v>
      </c>
      <c r="E11" s="53" t="n">
        <f aca="false">C11/(C11+D11)</f>
        <v>0.559056005751867</v>
      </c>
      <c r="F11" s="53" t="n">
        <f aca="false">D11/(C11+D11)</f>
        <v>0.440943994248134</v>
      </c>
    </row>
    <row r="12" customFormat="false" ht="15" hidden="false" customHeight="true" outlineLevel="0" collapsed="false">
      <c r="B12" s="6" t="s">
        <v>296</v>
      </c>
      <c r="C12" s="28" t="n">
        <f aca="false">Comps!L5</f>
        <v>2.24123749777552</v>
      </c>
      <c r="D12" s="28" t="n">
        <f aca="false">Comps!L6</f>
        <v>0.98172972669614</v>
      </c>
      <c r="E12" s="53" t="n">
        <f aca="false">C12/(C12+D12)</f>
        <v>0.695395684063441</v>
      </c>
      <c r="F12" s="53" t="n">
        <f aca="false">D12/(C12+D12)</f>
        <v>0.304604315936559</v>
      </c>
    </row>
    <row r="13" customFormat="false" ht="15" hidden="false" customHeight="true" outlineLevel="0" collapsed="false">
      <c r="B13" s="5" t="s">
        <v>452</v>
      </c>
      <c r="E13" s="26" t="n">
        <f aca="false">PF_OWN_CG</f>
        <v>0.568190853935419</v>
      </c>
      <c r="F13" s="26" t="n">
        <f aca="false">PF_OWN_ERO</f>
        <v>0.431809146064581</v>
      </c>
    </row>
    <row r="15" customFormat="false" ht="15" hidden="false" customHeight="true" outlineLevel="0" collapsed="false">
      <c r="B15" s="13" t="s">
        <v>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11" min="3" style="1" width="14"/>
  </cols>
  <sheetData>
    <row r="1" customFormat="false" ht="17.25" hidden="false" customHeight="true" outlineLevel="0" collapsed="false">
      <c r="B1" s="2" t="s">
        <v>505</v>
      </c>
    </row>
    <row r="2" customFormat="false" ht="15" hidden="false" customHeight="true" outlineLevel="0" collapsed="false">
      <c r="B2" s="3" t="s">
        <v>506</v>
      </c>
    </row>
    <row r="5" customFormat="false" ht="15" hidden="false" customHeight="true" outlineLevel="0" collapsed="false">
      <c r="B5" s="4" t="s">
        <v>507</v>
      </c>
      <c r="C5" s="4" t="s">
        <v>508</v>
      </c>
      <c r="D5" s="4" t="s">
        <v>509</v>
      </c>
      <c r="E5" s="4" t="s">
        <v>510</v>
      </c>
      <c r="F5" s="4" t="s">
        <v>511</v>
      </c>
      <c r="G5" s="4" t="s">
        <v>512</v>
      </c>
      <c r="H5" s="4" t="s">
        <v>513</v>
      </c>
      <c r="I5" s="4" t="s">
        <v>514</v>
      </c>
      <c r="J5" s="4" t="s">
        <v>515</v>
      </c>
      <c r="K5" s="4" t="s">
        <v>516</v>
      </c>
    </row>
    <row r="6" customFormat="false" ht="15" hidden="false" customHeight="true" outlineLevel="0" collapsed="false">
      <c r="B6" s="5" t="s">
        <v>517</v>
      </c>
      <c r="C6" s="22" t="n">
        <v>1</v>
      </c>
      <c r="D6" s="22" t="n">
        <v>1</v>
      </c>
      <c r="E6" s="12"/>
      <c r="F6" s="24" t="n">
        <v>1686.27142636312</v>
      </c>
      <c r="G6" s="24" t="n">
        <v>1326.01407711811</v>
      </c>
      <c r="H6" s="12" t="n">
        <v>11.8904972701249</v>
      </c>
      <c r="I6" s="12" t="n">
        <v>17.803026148113</v>
      </c>
      <c r="J6" s="49" t="n">
        <v>2.38173386332248</v>
      </c>
      <c r="K6" s="49" t="n">
        <v>2.36083459353088</v>
      </c>
    </row>
    <row r="7" customFormat="false" ht="15" hidden="false" customHeight="true" outlineLevel="0" collapsed="false">
      <c r="B7" s="5" t="s">
        <v>518</v>
      </c>
      <c r="C7" s="22" t="n">
        <v>2</v>
      </c>
      <c r="D7" s="22" t="n">
        <v>2</v>
      </c>
      <c r="E7" s="12"/>
      <c r="F7" s="24" t="n">
        <v>2897.37546778941</v>
      </c>
      <c r="G7" s="24" t="n">
        <v>2568.33984898589</v>
      </c>
      <c r="H7" s="12" t="n">
        <v>20.430420958137</v>
      </c>
      <c r="I7" s="12" t="n">
        <v>34.4824555619433</v>
      </c>
      <c r="J7" s="49" t="n">
        <v>1.38616820759734</v>
      </c>
      <c r="K7" s="49" t="n">
        <v>1.21888071238136</v>
      </c>
    </row>
    <row r="8" customFormat="false" ht="15" hidden="false" customHeight="true" outlineLevel="0" collapsed="false">
      <c r="B8" s="5" t="s">
        <v>519</v>
      </c>
      <c r="C8" s="22" t="n">
        <v>3</v>
      </c>
      <c r="D8" s="22" t="n">
        <v>1</v>
      </c>
      <c r="E8" s="12" t="n">
        <v>4</v>
      </c>
      <c r="F8" s="24" t="n">
        <v>1234.53927875705</v>
      </c>
      <c r="G8" s="24" t="n">
        <v>238.01717232026</v>
      </c>
      <c r="H8" s="12" t="n">
        <v>8.70517384949247</v>
      </c>
      <c r="I8" s="12" t="n">
        <v>3.19561158183698</v>
      </c>
      <c r="J8" s="49" t="n">
        <v>3.25323772846319</v>
      </c>
      <c r="K8" s="49" t="n">
        <v>13.152411963609</v>
      </c>
    </row>
    <row r="9" customFormat="false" ht="15" hidden="false" customHeight="true" outlineLevel="0" collapsed="false">
      <c r="B9" s="5" t="s">
        <v>520</v>
      </c>
      <c r="C9" s="22" t="n">
        <v>3</v>
      </c>
      <c r="D9" s="22" t="n">
        <v>1</v>
      </c>
      <c r="E9" s="12" t="n">
        <v>4.5</v>
      </c>
      <c r="F9" s="24" t="n">
        <v>1436.57773423898</v>
      </c>
      <c r="G9" s="24" t="n">
        <v>699.507167539417</v>
      </c>
      <c r="H9" s="12" t="n">
        <v>10.1298185809456</v>
      </c>
      <c r="I9" s="12" t="n">
        <v>9.39156273631888</v>
      </c>
      <c r="J9" s="49" t="n">
        <v>2.79570653449515</v>
      </c>
      <c r="K9" s="49" t="n">
        <v>4.4752935352774</v>
      </c>
    </row>
    <row r="10" customFormat="false" ht="15" hidden="false" customHeight="true" outlineLevel="0" collapsed="false">
      <c r="B10" s="5" t="s">
        <v>521</v>
      </c>
      <c r="C10" s="22" t="n">
        <v>3</v>
      </c>
      <c r="D10" s="22" t="n">
        <v>1</v>
      </c>
      <c r="E10" s="12" t="n">
        <v>5</v>
      </c>
      <c r="F10" s="24" t="n">
        <v>1638.61618972092</v>
      </c>
      <c r="G10" s="24" t="n">
        <v>1159.17094797015</v>
      </c>
      <c r="H10" s="12" t="n">
        <v>11.5544633123987</v>
      </c>
      <c r="I10" s="12" t="n">
        <v>15.5629951845581</v>
      </c>
      <c r="J10" s="49" t="n">
        <v>2.45100090192945</v>
      </c>
      <c r="K10" s="49" t="n">
        <v>2.70063695976099</v>
      </c>
    </row>
    <row r="11" customFormat="false" ht="15" hidden="false" customHeight="true" outlineLevel="0" collapsed="false">
      <c r="B11" s="5" t="s">
        <v>522</v>
      </c>
      <c r="C11" s="22" t="n">
        <v>3</v>
      </c>
      <c r="D11" s="22" t="n">
        <v>1</v>
      </c>
      <c r="E11" s="12" t="n">
        <v>5.5</v>
      </c>
      <c r="F11" s="24" t="n">
        <v>1840.65464520285</v>
      </c>
      <c r="G11" s="24" t="n">
        <v>1618.83472840087</v>
      </c>
      <c r="H11" s="12" t="n">
        <v>12.9791080438519</v>
      </c>
      <c r="I11" s="12" t="n">
        <v>21.7344276327974</v>
      </c>
      <c r="J11" s="49" t="n">
        <v>2.18196812171658</v>
      </c>
      <c r="K11" s="49" t="n">
        <v>1.93379833645016</v>
      </c>
    </row>
    <row r="12" customFormat="false" ht="15" hidden="false" customHeight="true" outlineLevel="0" collapsed="false">
      <c r="B12" s="5" t="s">
        <v>523</v>
      </c>
      <c r="C12" s="22" t="n">
        <v>3</v>
      </c>
      <c r="D12" s="22" t="n">
        <v>1</v>
      </c>
      <c r="E12" s="12" t="n">
        <v>6</v>
      </c>
      <c r="F12" s="24" t="n">
        <v>2042.69310068478</v>
      </c>
      <c r="G12" s="24" t="n">
        <v>2078.4985088316</v>
      </c>
      <c r="H12" s="12" t="n">
        <v>14.403752775305</v>
      </c>
      <c r="I12" s="12" t="n">
        <v>27.9058600810366</v>
      </c>
      <c r="J12" s="49" t="n">
        <v>1.96615426838999</v>
      </c>
      <c r="K12" s="49" t="n">
        <v>1.50613526613936</v>
      </c>
    </row>
    <row r="13" customFormat="false" ht="15" hidden="false" customHeight="true" outlineLevel="0" collapsed="false">
      <c r="B13" s="5" t="s">
        <v>524</v>
      </c>
      <c r="C13" s="22" t="n">
        <v>3</v>
      </c>
      <c r="D13" s="22" t="n">
        <v>1</v>
      </c>
      <c r="E13" s="12" t="n">
        <v>6.5</v>
      </c>
      <c r="F13" s="24" t="n">
        <v>2244.73155616671</v>
      </c>
      <c r="G13" s="24" t="n">
        <v>2538.16228926233</v>
      </c>
      <c r="H13" s="12" t="n">
        <v>15.8283975067581</v>
      </c>
      <c r="I13" s="12" t="n">
        <v>34.0772925292759</v>
      </c>
      <c r="J13" s="49" t="n">
        <v>1.78918933441673</v>
      </c>
      <c r="K13" s="49" t="n">
        <v>1.23337263263776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10" min="3" style="1" width="12"/>
  </cols>
  <sheetData>
    <row r="1" customFormat="false" ht="17.25" hidden="false" customHeight="true" outlineLevel="0" collapsed="false">
      <c r="B1" s="2" t="s">
        <v>525</v>
      </c>
    </row>
    <row r="2" customFormat="false" ht="15" hidden="false" customHeight="true" outlineLevel="0" collapsed="false">
      <c r="B2" s="3" t="s">
        <v>526</v>
      </c>
    </row>
    <row r="4" customFormat="false" ht="15" hidden="false" customHeight="true" outlineLevel="0" collapsed="false">
      <c r="B4" s="10" t="s">
        <v>527</v>
      </c>
      <c r="C4" s="11"/>
      <c r="D4" s="11"/>
      <c r="E4" s="11"/>
      <c r="F4" s="11"/>
      <c r="G4" s="11"/>
      <c r="H4" s="11"/>
      <c r="I4" s="11"/>
    </row>
    <row r="5" customFormat="false" ht="15" hidden="false" customHeight="true" outlineLevel="0" collapsed="false">
      <c r="B5" s="4" t="s">
        <v>528</v>
      </c>
      <c r="C5" s="57" t="n">
        <v>4</v>
      </c>
      <c r="D5" s="57" t="n">
        <v>4.5</v>
      </c>
      <c r="E5" s="57" t="n">
        <v>5</v>
      </c>
      <c r="F5" s="57" t="n">
        <v>5.5</v>
      </c>
      <c r="G5" s="57" t="n">
        <v>6</v>
      </c>
      <c r="H5" s="57" t="n">
        <v>6.5</v>
      </c>
    </row>
    <row r="6" customFormat="false" ht="15" hidden="false" customHeight="true" outlineLevel="0" collapsed="false">
      <c r="B6" s="23" t="n">
        <v>0.15</v>
      </c>
      <c r="C6" s="53" t="n">
        <f aca="false">IFERROR((Scenarios!$F$8+Scenarios!$G$8+SYN_NPV-(ERO_SHARES*(ERO_PRICE_CAD*(1+$B6))*DEAL_CASH_PCT*FX_SPOT+DEAL_TXN_COSTS))/(CG_SHARES+(ERO_SHARES*(ERO_PRICE_CAD*(1+$B6))*(1-DEAL_CASH_PCT)/CG_PRICE_CAD))/(Scenarios!$F$8/CG_SHARES)-1,"n/a")</f>
        <v>-0.446765345541511</v>
      </c>
      <c r="D6" s="53" t="n">
        <f aca="false">IFERROR((Scenarios!$F$9+Scenarios!$G$9+SYN_NPV-(ERO_SHARES*(ERO_PRICE_CAD*(1+$B6))*DEAL_CASH_PCT*FX_SPOT+DEAL_TXN_COSTS))/(CG_SHARES+(ERO_SHARES*(ERO_PRICE_CAD*(1+$B6))*(1-DEAL_CASH_PCT)/CG_PRICE_CAD))/(Scenarios!$F$9/CG_SHARES)-1,"n/a")</f>
        <v>-0.24837347634095</v>
      </c>
      <c r="E6" s="53" t="n">
        <f aca="false">IFERROR((Scenarios!$F$10+Scenarios!$G$10+SYN_NPV-(ERO_SHARES*(ERO_PRICE_CAD*(1+$B6))*DEAL_CASH_PCT*FX_SPOT+DEAL_TXN_COSTS))/(CG_SHARES+(ERO_SHARES*(ERO_PRICE_CAD*(1+$B6))*(1-DEAL_CASH_PCT)/CG_PRICE_CAD))/(Scenarios!$F$10/CG_SHARES)-1,"n/a")</f>
        <v>-0.099570780680274</v>
      </c>
      <c r="F6" s="53" t="n">
        <f aca="false">IFERROR((Scenarios!$F$11+Scenarios!$G$11+SYN_NPV-(ERO_SHARES*(ERO_PRICE_CAD*(1+$B6))*DEAL_CASH_PCT*FX_SPOT+DEAL_TXN_COSTS))/(CG_SHARES+(ERO_SHARES*(ERO_PRICE_CAD*(1+$B6))*(1-DEAL_CASH_PCT)/CG_PRICE_CAD))/(Scenarios!$F$11/CG_SHARES)-1,"n/a")</f>
        <v>0.016565421153125</v>
      </c>
      <c r="G6" s="53" t="n">
        <f aca="false">IFERROR((Scenarios!$F$12+Scenarios!$G$12+SYN_NPV-(ERO_SHARES*(ERO_PRICE_CAD*(1+$B6))*DEAL_CASH_PCT*FX_SPOT+DEAL_TXN_COSTS))/(CG_SHARES+(ERO_SHARES*(ERO_PRICE_CAD*(1+$B6))*(1-DEAL_CASH_PCT)/CG_PRICE_CAD))/(Scenarios!$F$12/CG_SHARES)-1,"n/a")</f>
        <v>0.109728050660765</v>
      </c>
      <c r="H6" s="53" t="n">
        <f aca="false">IFERROR((Scenarios!$F$13+Scenarios!$G$13+SYN_NPV-(ERO_SHARES*(ERO_PRICE_CAD*(1+$B6))*DEAL_CASH_PCT*FX_SPOT+DEAL_TXN_COSTS))/(CG_SHARES+(ERO_SHARES*(ERO_PRICE_CAD*(1+$B6))*(1-DEAL_CASH_PCT)/CG_PRICE_CAD))/(Scenarios!$F$13/CG_SHARES)-1,"n/a")</f>
        <v>0.186120359706121</v>
      </c>
    </row>
    <row r="7" customFormat="false" ht="15" hidden="false" customHeight="true" outlineLevel="0" collapsed="false">
      <c r="B7" s="23" t="n">
        <v>0.2</v>
      </c>
      <c r="C7" s="53" t="n">
        <f aca="false">IFERROR((Scenarios!$F$8+Scenarios!$G$8+SYN_NPV-(ERO_SHARES*(ERO_PRICE_CAD*(1+$B7))*DEAL_CASH_PCT*FX_SPOT+DEAL_TXN_COSTS))/(CG_SHARES+(ERO_SHARES*(ERO_PRICE_CAD*(1+$B7))*(1-DEAL_CASH_PCT)/CG_PRICE_CAD))/(Scenarios!$F$8/CG_SHARES)-1,"n/a")</f>
        <v>-0.474897916904578</v>
      </c>
      <c r="D7" s="53" t="n">
        <f aca="false">IFERROR((Scenarios!$F$9+Scenarios!$G$9+SYN_NPV-(ERO_SHARES*(ERO_PRICE_CAD*(1+$B7))*DEAL_CASH_PCT*FX_SPOT+DEAL_TXN_COSTS))/(CG_SHARES+(ERO_SHARES*(ERO_PRICE_CAD*(1+$B7))*(1-DEAL_CASH_PCT)/CG_PRICE_CAD))/(Scenarios!$F$9/CG_SHARES)-1,"n/a")</f>
        <v>-0.277294229516903</v>
      </c>
      <c r="E7" s="53" t="n">
        <f aca="false">IFERROR((Scenarios!$F$10+Scenarios!$G$10+SYN_NPV-(ERO_SHARES*(ERO_PRICE_CAD*(1+$B7))*DEAL_CASH_PCT*FX_SPOT+DEAL_TXN_COSTS))/(CG_SHARES+(ERO_SHARES*(ERO_PRICE_CAD*(1+$B7))*(1-DEAL_CASH_PCT)/CG_PRICE_CAD))/(Scenarios!$F$10/CG_SHARES)-1,"n/a")</f>
        <v>-0.129073904202983</v>
      </c>
      <c r="F7" s="53" t="n">
        <f aca="false">IFERROR((Scenarios!$F$11+Scenarios!$G$11+SYN_NPV-(ERO_SHARES*(ERO_PRICE_CAD*(1+$B7))*DEAL_CASH_PCT*FX_SPOT+DEAL_TXN_COSTS))/(CG_SHARES+(ERO_SHARES*(ERO_PRICE_CAD*(1+$B7))*(1-DEAL_CASH_PCT)/CG_PRICE_CAD))/(Scenarios!$F$11/CG_SHARES)-1,"n/a")</f>
        <v>-0.0133922255879457</v>
      </c>
      <c r="G7" s="53" t="n">
        <f aca="false">IFERROR((Scenarios!$F$12+Scenarios!$G$12+SYN_NPV-(ERO_SHARES*(ERO_PRICE_CAD*(1+$B7))*DEAL_CASH_PCT*FX_SPOT+DEAL_TXN_COSTS))/(CG_SHARES+(ERO_SHARES*(ERO_PRICE_CAD*(1+$B7))*(1-DEAL_CASH_PCT)/CG_PRICE_CAD))/(Scenarios!$F$12/CG_SHARES)-1,"n/a")</f>
        <v>0.0794057925622851</v>
      </c>
      <c r="H7" s="53" t="n">
        <f aca="false">IFERROR((Scenarios!$F$13+Scenarios!$G$13+SYN_NPV-(ERO_SHARES*(ERO_PRICE_CAD*(1+$B7))*DEAL_CASH_PCT*FX_SPOT+DEAL_TXN_COSTS))/(CG_SHARES+(ERO_SHARES*(ERO_PRICE_CAD*(1+$B7))*(1-DEAL_CASH_PCT)/CG_PRICE_CAD))/(Scenarios!$F$13/CG_SHARES)-1,"n/a")</f>
        <v>0.155499124392809</v>
      </c>
    </row>
    <row r="8" customFormat="false" ht="15" hidden="false" customHeight="true" outlineLevel="0" collapsed="false">
      <c r="B8" s="23" t="n">
        <v>0.25</v>
      </c>
      <c r="C8" s="53" t="n">
        <f aca="false">IFERROR((Scenarios!$F$8+Scenarios!$G$8+SYN_NPV-(ERO_SHARES*(ERO_PRICE_CAD*(1+$B8))*DEAL_CASH_PCT*FX_SPOT+DEAL_TXN_COSTS))/(CG_SHARES+(ERO_SHARES*(ERO_PRICE_CAD*(1+$B8))*(1-DEAL_CASH_PCT)/CG_PRICE_CAD))/(Scenarios!$F$8/CG_SHARES)-1,"n/a")</f>
        <v>-0.502080252743648</v>
      </c>
      <c r="D8" s="53" t="n">
        <f aca="false">IFERROR((Scenarios!$F$9+Scenarios!$G$9+SYN_NPV-(ERO_SHARES*(ERO_PRICE_CAD*(1+$B8))*DEAL_CASH_PCT*FX_SPOT+DEAL_TXN_COSTS))/(CG_SHARES+(ERO_SHARES*(ERO_PRICE_CAD*(1+$B8))*(1-DEAL_CASH_PCT)/CG_PRICE_CAD))/(Scenarios!$F$9/CG_SHARES)-1,"n/a")</f>
        <v>-0.305238124705227</v>
      </c>
      <c r="E8" s="53" t="n">
        <f aca="false">IFERROR((Scenarios!$F$10+Scenarios!$G$10+SYN_NPV-(ERO_SHARES*(ERO_PRICE_CAD*(1+$B8))*DEAL_CASH_PCT*FX_SPOT+DEAL_TXN_COSTS))/(CG_SHARES+(ERO_SHARES*(ERO_PRICE_CAD*(1+$B8))*(1-DEAL_CASH_PCT)/CG_PRICE_CAD))/(Scenarios!$F$10/CG_SHARES)-1,"n/a")</f>
        <v>-0.157580498980474</v>
      </c>
      <c r="F8" s="53" t="n">
        <f aca="false">IFERROR((Scenarios!$F$11+Scenarios!$G$11+SYN_NPV-(ERO_SHARES*(ERO_PRICE_CAD*(1+$B8))*DEAL_CASH_PCT*FX_SPOT+DEAL_TXN_COSTS))/(CG_SHARES+(ERO_SHARES*(ERO_PRICE_CAD*(1+$B8))*(1-DEAL_CASH_PCT)/CG_PRICE_CAD))/(Scenarios!$F$11/CG_SHARES)-1,"n/a")</f>
        <v>-0.042337991126215</v>
      </c>
      <c r="G8" s="53" t="n">
        <f aca="false">IFERROR((Scenarios!$F$12+Scenarios!$G$12+SYN_NPV-(ERO_SHARES*(ERO_PRICE_CAD*(1+$B8))*DEAL_CASH_PCT*FX_SPOT+DEAL_TXN_COSTS))/(CG_SHARES+(ERO_SHARES*(ERO_PRICE_CAD*(1+$B8))*(1-DEAL_CASH_PCT)/CG_PRICE_CAD))/(Scenarios!$F$12/CG_SHARES)-1,"n/a")</f>
        <v>0.0501077311659537</v>
      </c>
      <c r="H8" s="53" t="n">
        <f aca="false">IFERROR((Scenarios!$F$13+Scenarios!$G$13+SYN_NPV-(ERO_SHARES*(ERO_PRICE_CAD*(1+$B8))*DEAL_CASH_PCT*FX_SPOT+DEAL_TXN_COSTS))/(CG_SHARES+(ERO_SHARES*(ERO_PRICE_CAD*(1+$B8))*(1-DEAL_CASH_PCT)/CG_PRICE_CAD))/(Scenarios!$F$13/CG_SHARES)-1,"n/a")</f>
        <v>0.125912184352683</v>
      </c>
    </row>
    <row r="9" customFormat="false" ht="15" hidden="false" customHeight="true" outlineLevel="0" collapsed="false">
      <c r="B9" s="23" t="n">
        <v>0.3</v>
      </c>
      <c r="C9" s="53" t="n">
        <f aca="false">IFERROR((Scenarios!$F$8+Scenarios!$G$8+SYN_NPV-(ERO_SHARES*(ERO_PRICE_CAD*(1+$B9))*DEAL_CASH_PCT*FX_SPOT+DEAL_TXN_COSTS))/(CG_SHARES+(ERO_SHARES*(ERO_PRICE_CAD*(1+$B9))*(1-DEAL_CASH_PCT)/CG_PRICE_CAD))/(Scenarios!$F$8/CG_SHARES)-1,"n/a")</f>
        <v>-0.528359697719124</v>
      </c>
      <c r="D9" s="53" t="n">
        <f aca="false">IFERROR((Scenarios!$F$9+Scenarios!$G$9+SYN_NPV-(ERO_SHARES*(ERO_PRICE_CAD*(1+$B9))*DEAL_CASH_PCT*FX_SPOT+DEAL_TXN_COSTS))/(CG_SHARES+(ERO_SHARES*(ERO_PRICE_CAD*(1+$B9))*(1-DEAL_CASH_PCT)/CG_PRICE_CAD))/(Scenarios!$F$9/CG_SHARES)-1,"n/a")</f>
        <v>-0.332253833007474</v>
      </c>
      <c r="E9" s="53" t="n">
        <f aca="false">IFERROR((Scenarios!$F$10+Scenarios!$G$10+SYN_NPV-(ERO_SHARES*(ERO_PRICE_CAD*(1+$B9))*DEAL_CASH_PCT*FX_SPOT+DEAL_TXN_COSTS))/(CG_SHARES+(ERO_SHARES*(ERO_PRICE_CAD*(1+$B9))*(1-DEAL_CASH_PCT)/CG_PRICE_CAD))/(Scenarios!$F$10/CG_SHARES)-1,"n/a")</f>
        <v>-0.185140216192729</v>
      </c>
      <c r="F9" s="53" t="n">
        <f aca="false">IFERROR((Scenarios!$F$11+Scenarios!$G$11+SYN_NPV-(ERO_SHARES*(ERO_PRICE_CAD*(1+$B9))*DEAL_CASH_PCT*FX_SPOT+DEAL_TXN_COSTS))/(CG_SHARES+(ERO_SHARES*(ERO_PRICE_CAD*(1+$B9))*(1-DEAL_CASH_PCT)/CG_PRICE_CAD))/(Scenarios!$F$11/CG_SHARES)-1,"n/a")</f>
        <v>-0.0703222915645411</v>
      </c>
      <c r="G9" s="53" t="n">
        <f aca="false">IFERROR((Scenarios!$F$12+Scenarios!$G$12+SYN_NPV-(ERO_SHARES*(ERO_PRICE_CAD*(1+$B9))*DEAL_CASH_PCT*FX_SPOT+DEAL_TXN_COSTS))/(CG_SHARES+(ERO_SHARES*(ERO_PRICE_CAD*(1+$B9))*(1-DEAL_CASH_PCT)/CG_PRICE_CAD))/(Scenarios!$F$12/CG_SHARES)-1,"n/a")</f>
        <v>0.0217828367598449</v>
      </c>
      <c r="H9" s="53" t="n">
        <f aca="false">IFERROR((Scenarios!$F$13+Scenarios!$G$13+SYN_NPV-(ERO_SHARES*(ERO_PRICE_CAD*(1+$B9))*DEAL_CASH_PCT*FX_SPOT+DEAL_TXN_COSTS))/(CG_SHARES+(ERO_SHARES*(ERO_PRICE_CAD*(1+$B9))*(1-DEAL_CASH_PCT)/CG_PRICE_CAD))/(Scenarios!$F$13/CG_SHARES)-1,"n/a")</f>
        <v>0.0973080067212793</v>
      </c>
    </row>
    <row r="10" customFormat="false" ht="15" hidden="false" customHeight="true" outlineLevel="0" collapsed="false">
      <c r="B10" s="23" t="n">
        <v>0.35</v>
      </c>
      <c r="C10" s="53" t="n">
        <f aca="false">IFERROR((Scenarios!$F$8+Scenarios!$G$8+SYN_NPV-(ERO_SHARES*(ERO_PRICE_CAD*(1+$B10))*DEAL_CASH_PCT*FX_SPOT+DEAL_TXN_COSTS))/(CG_SHARES+(ERO_SHARES*(ERO_PRICE_CAD*(1+$B10))*(1-DEAL_CASH_PCT)/CG_PRICE_CAD))/(Scenarios!$F$8/CG_SHARES)-1,"n/a")</f>
        <v>-0.55378050266499</v>
      </c>
      <c r="D10" s="53" t="n">
        <f aca="false">IFERROR((Scenarios!$F$9+Scenarios!$G$9+SYN_NPV-(ERO_SHARES*(ERO_PRICE_CAD*(1+$B10))*DEAL_CASH_PCT*FX_SPOT+DEAL_TXN_COSTS))/(CG_SHARES+(ERO_SHARES*(ERO_PRICE_CAD*(1+$B10))*(1-DEAL_CASH_PCT)/CG_PRICE_CAD))/(Scenarios!$F$9/CG_SHARES)-1,"n/a")</f>
        <v>-0.358386845019971</v>
      </c>
      <c r="E10" s="53" t="n">
        <f aca="false">IFERROR((Scenarios!$F$10+Scenarios!$G$10+SYN_NPV-(ERO_SHARES*(ERO_PRICE_CAD*(1+$B10))*DEAL_CASH_PCT*FX_SPOT+DEAL_TXN_COSTS))/(CG_SHARES+(ERO_SHARES*(ERO_PRICE_CAD*(1+$B10))*(1-DEAL_CASH_PCT)/CG_PRICE_CAD))/(Scenarios!$F$10/CG_SHARES)-1,"n/a")</f>
        <v>-0.211799462469419</v>
      </c>
      <c r="F10" s="53" t="n">
        <f aca="false">IFERROR((Scenarios!$F$11+Scenarios!$G$11+SYN_NPV-(ERO_SHARES*(ERO_PRICE_CAD*(1+$B10))*DEAL_CASH_PCT*FX_SPOT+DEAL_TXN_COSTS))/(CG_SHARES+(ERO_SHARES*(ERO_PRICE_CAD*(1+$B10))*(1-DEAL_CASH_PCT)/CG_PRICE_CAD))/(Scenarios!$F$11/CG_SHARES)-1,"n/a")</f>
        <v>-0.0973922484701399</v>
      </c>
      <c r="G10" s="53" t="n">
        <f aca="false">IFERROR((Scenarios!$F$12+Scenarios!$G$12+SYN_NPV-(ERO_SHARES*(ERO_PRICE_CAD*(1+$B10))*DEAL_CASH_PCT*FX_SPOT+DEAL_TXN_COSTS))/(CG_SHARES+(ERO_SHARES*(ERO_PRICE_CAD*(1+$B10))*(1-DEAL_CASH_PCT)/CG_PRICE_CAD))/(Scenarios!$F$12/CG_SHARES)-1,"n/a")</f>
        <v>-0.00561658573487966</v>
      </c>
      <c r="H10" s="53" t="n">
        <f aca="false">IFERROR((Scenarios!$F$13+Scenarios!$G$13+SYN_NPV-(ERO_SHARES*(ERO_PRICE_CAD*(1+$B10))*DEAL_CASH_PCT*FX_SPOT+DEAL_TXN_COSTS))/(CG_SHARES+(ERO_SHARES*(ERO_PRICE_CAD*(1+$B10))*(1-DEAL_CASH_PCT)/CG_PRICE_CAD))/(Scenarios!$F$13/CG_SHARES)-1,"n/a")</f>
        <v>0.0696384261466754</v>
      </c>
    </row>
    <row r="11" customFormat="false" ht="15" hidden="false" customHeight="true" outlineLevel="0" collapsed="false">
      <c r="B11" s="23" t="n">
        <v>0.4</v>
      </c>
      <c r="C11" s="53" t="n">
        <f aca="false">IFERROR((Scenarios!$F$8+Scenarios!$G$8+SYN_NPV-(ERO_SHARES*(ERO_PRICE_CAD*(1+$B11))*DEAL_CASH_PCT*FX_SPOT+DEAL_TXN_COSTS))/(CG_SHARES+(ERO_SHARES*(ERO_PRICE_CAD*(1+$B11))*(1-DEAL_CASH_PCT)/CG_PRICE_CAD))/(Scenarios!$F$8/CG_SHARES)-1,"n/a")</f>
        <v>-0.578384073241563</v>
      </c>
      <c r="D11" s="53" t="n">
        <f aca="false">IFERROR((Scenarios!$F$9+Scenarios!$G$9+SYN_NPV-(ERO_SHARES*(ERO_PRICE_CAD*(1+$B11))*DEAL_CASH_PCT*FX_SPOT+DEAL_TXN_COSTS))/(CG_SHARES+(ERO_SHARES*(ERO_PRICE_CAD*(1+$B11))*(1-DEAL_CASH_PCT)/CG_PRICE_CAD))/(Scenarios!$F$9/CG_SHARES)-1,"n/a")</f>
        <v>-0.383679726452997</v>
      </c>
      <c r="E11" s="53" t="n">
        <f aca="false">IFERROR((Scenarios!$F$10+Scenarios!$G$10+SYN_NPV-(ERO_SHARES*(ERO_PRICE_CAD*(1+$B11))*DEAL_CASH_PCT*FX_SPOT+DEAL_TXN_COSTS))/(CG_SHARES+(ERO_SHARES*(ERO_PRICE_CAD*(1+$B11))*(1-DEAL_CASH_PCT)/CG_PRICE_CAD))/(Scenarios!$F$10/CG_SHARES)-1,"n/a")</f>
        <v>-0.237601660656438</v>
      </c>
      <c r="F11" s="53" t="n">
        <f aca="false">IFERROR((Scenarios!$F$11+Scenarios!$G$11+SYN_NPV-(ERO_SHARES*(ERO_PRICE_CAD*(1+$B11))*DEAL_CASH_PCT*FX_SPOT+DEAL_TXN_COSTS))/(CG_SHARES+(ERO_SHARES*(ERO_PRICE_CAD*(1+$B11))*(1-DEAL_CASH_PCT)/CG_PRICE_CAD))/(Scenarios!$F$11/CG_SHARES)-1,"n/a")</f>
        <v>-0.123591953658468</v>
      </c>
      <c r="G11" s="53" t="n">
        <f aca="false">IFERROR((Scenarios!$F$12+Scenarios!$G$12+SYN_NPV-(ERO_SHARES*(ERO_PRICE_CAD*(1+$B11))*DEAL_CASH_PCT*FX_SPOT+DEAL_TXN_COSTS))/(CG_SHARES+(ERO_SHARES*(ERO_PRICE_CAD*(1+$B11))*(1-DEAL_CASH_PCT)/CG_PRICE_CAD))/(Scenarios!$F$12/CG_SHARES)-1,"n/a")</f>
        <v>-0.0321351647705104</v>
      </c>
      <c r="H11" s="53" t="n">
        <f aca="false">IFERROR((Scenarios!$F$13+Scenarios!$G$13+SYN_NPV-(ERO_SHARES*(ERO_PRICE_CAD*(1+$B11))*DEAL_CASH_PCT*FX_SPOT+DEAL_TXN_COSTS))/(CG_SHARES+(ERO_SHARES*(ERO_PRICE_CAD*(1+$B11))*(1-DEAL_CASH_PCT)/CG_PRICE_CAD))/(Scenarios!$F$13/CG_SHARES)-1,"n/a")</f>
        <v>0.0428583741404089</v>
      </c>
    </row>
    <row r="13" customFormat="false" ht="15" hidden="false" customHeight="true" outlineLevel="0" collapsed="false">
      <c r="B13" s="10" t="s">
        <v>529</v>
      </c>
      <c r="C13" s="11"/>
      <c r="D13" s="11"/>
      <c r="E13" s="11"/>
      <c r="F13" s="11"/>
      <c r="G13" s="11"/>
      <c r="H13" s="11"/>
      <c r="I13" s="11"/>
    </row>
    <row r="14" customFormat="false" ht="15" hidden="false" customHeight="true" outlineLevel="0" collapsed="false">
      <c r="B14" s="4" t="s">
        <v>530</v>
      </c>
      <c r="C14" s="58" t="n">
        <v>0</v>
      </c>
      <c r="D14" s="58" t="n">
        <v>0.15</v>
      </c>
      <c r="E14" s="58" t="n">
        <v>0.25</v>
      </c>
      <c r="F14" s="58" t="n">
        <v>0.35</v>
      </c>
      <c r="G14" s="58" t="n">
        <v>0.5</v>
      </c>
    </row>
    <row r="15" customFormat="false" ht="15" hidden="false" customHeight="true" outlineLevel="0" collapsed="false">
      <c r="B15" s="14" t="n">
        <v>0</v>
      </c>
      <c r="C15" s="53" t="n">
        <f aca="false">IFERROR((CG_NI_2028+ERO_NI_2028+$B15*DEAL_PHASE_Y2*(1-DEAL_TAX)-((DEAL_EQUITY_USD*C$14+DEAL_TXN_COSTS)-MIN((DEAL_EQUITY_USD*C$14+DEAL_TXN_COSTS),MAX(0,CG_CASH+ERO_CASH-DEAL_MIN_CASH)))*DEAL_DEBT_RATE*(1-DEAL_TAX)-MIN((DEAL_EQUITY_USD*C$14+DEAL_TXN_COSTS),MAX(0,CG_CASH+ERO_CASH-DEAL_MIN_CASH))*DEAL_CASH_YIELD*(1-DEAL_TAX))/(CG_SHARES+(ERO_SHARES*DEAL_OFFER_CAD*(1-C$14)/CG_PRICE_CAD))/CG_EPS_2028-1,"n/a")</f>
        <v>0.169547087822335</v>
      </c>
      <c r="D15" s="53" t="n">
        <f aca="false">IFERROR((CG_NI_2028+ERO_NI_2028+$B15*DEAL_PHASE_Y2*(1-DEAL_TAX)-((DEAL_EQUITY_USD*D$14+DEAL_TXN_COSTS)-MIN((DEAL_EQUITY_USD*D$14+DEAL_TXN_COSTS),MAX(0,CG_CASH+ERO_CASH-DEAL_MIN_CASH)))*DEAL_DEBT_RATE*(1-DEAL_TAX)-MIN((DEAL_EQUITY_USD*D$14+DEAL_TXN_COSTS),MAX(0,CG_CASH+ERO_CASH-DEAL_MIN_CASH))*DEAL_CASH_YIELD*(1-DEAL_TAX))/(CG_SHARES+(ERO_SHARES*DEAL_OFFER_CAD*(1-D$14)/CG_PRICE_CAD))/CG_EPS_2028-1,"n/a")</f>
        <v>0.189401230551022</v>
      </c>
      <c r="E15" s="53" t="n">
        <f aca="false">IFERROR((CG_NI_2028+ERO_NI_2028+$B15*DEAL_PHASE_Y2*(1-DEAL_TAX)-((DEAL_EQUITY_USD*E$14+DEAL_TXN_COSTS)-MIN((DEAL_EQUITY_USD*E$14+DEAL_TXN_COSTS),MAX(0,CG_CASH+ERO_CASH-DEAL_MIN_CASH)))*DEAL_DEBT_RATE*(1-DEAL_TAX)-MIN((DEAL_EQUITY_USD*E$14+DEAL_TXN_COSTS),MAX(0,CG_CASH+ERO_CASH-DEAL_MIN_CASH))*DEAL_CASH_YIELD*(1-DEAL_TAX))/(CG_SHARES+(ERO_SHARES*DEAL_OFFER_CAD*(1-E$14)/CG_PRICE_CAD))/CG_EPS_2028-1,"n/a")</f>
        <v>0.193839947709255</v>
      </c>
      <c r="F15" s="53" t="n">
        <f aca="false">IFERROR((CG_NI_2028+ERO_NI_2028+$B15*DEAL_PHASE_Y2*(1-DEAL_TAX)-((DEAL_EQUITY_USD*F$14+DEAL_TXN_COSTS)-MIN((DEAL_EQUITY_USD*F$14+DEAL_TXN_COSTS),MAX(0,CG_CASH+ERO_CASH-DEAL_MIN_CASH)))*DEAL_DEBT_RATE*(1-DEAL_TAX)-MIN((DEAL_EQUITY_USD*F$14+DEAL_TXN_COSTS),MAX(0,CG_CASH+ERO_CASH-DEAL_MIN_CASH))*DEAL_CASH_YIELD*(1-DEAL_TAX))/(CG_SHARES+(ERO_SHARES*DEAL_OFFER_CAD*(1-F$14)/CG_PRICE_CAD))/CG_EPS_2028-1,"n/a")</f>
        <v>0.198821004118175</v>
      </c>
      <c r="G15" s="53" t="n">
        <f aca="false">IFERROR((CG_NI_2028+ERO_NI_2028+$B15*DEAL_PHASE_Y2*(1-DEAL_TAX)-((DEAL_EQUITY_USD*G$14+DEAL_TXN_COSTS)-MIN((DEAL_EQUITY_USD*G$14+DEAL_TXN_COSTS),MAX(0,CG_CASH+ERO_CASH-DEAL_MIN_CASH)))*DEAL_DEBT_RATE*(1-DEAL_TAX)-MIN((DEAL_EQUITY_USD*G$14+DEAL_TXN_COSTS),MAX(0,CG_CASH+ERO_CASH-DEAL_MIN_CASH))*DEAL_CASH_YIELD*(1-DEAL_TAX))/(CG_SHARES+(ERO_SHARES*DEAL_OFFER_CAD*(1-G$14)/CG_PRICE_CAD))/CG_EPS_2028-1,"n/a")</f>
        <v>0.207548842162529</v>
      </c>
    </row>
    <row r="16" customFormat="false" ht="15" hidden="false" customHeight="true" outlineLevel="0" collapsed="false">
      <c r="B16" s="14" t="n">
        <v>50</v>
      </c>
      <c r="C16" s="53" t="n">
        <f aca="false">IFERROR((CG_NI_2028+ERO_NI_2028+$B16*DEAL_PHASE_Y2*(1-DEAL_TAX)-((DEAL_EQUITY_USD*C$14+DEAL_TXN_COSTS)-MIN((DEAL_EQUITY_USD*C$14+DEAL_TXN_COSTS),MAX(0,CG_CASH+ERO_CASH-DEAL_MIN_CASH)))*DEAL_DEBT_RATE*(1-DEAL_TAX)-MIN((DEAL_EQUITY_USD*C$14+DEAL_TXN_COSTS),MAX(0,CG_CASH+ERO_CASH-DEAL_MIN_CASH))*DEAL_CASH_YIELD*(1-DEAL_TAX))/(CG_SHARES+(ERO_SHARES*DEAL_OFFER_CAD*(1-C$14)/CG_PRICE_CAD))/CG_EPS_2028-1,"n/a")</f>
        <v>0.284181426506377</v>
      </c>
      <c r="D16" s="53" t="n">
        <f aca="false">IFERROR((CG_NI_2028+ERO_NI_2028+$B16*DEAL_PHASE_Y2*(1-DEAL_TAX)-((DEAL_EQUITY_USD*D$14+DEAL_TXN_COSTS)-MIN((DEAL_EQUITY_USD*D$14+DEAL_TXN_COSTS),MAX(0,CG_CASH+ERO_CASH-DEAL_MIN_CASH)))*DEAL_DEBT_RATE*(1-DEAL_TAX)-MIN((DEAL_EQUITY_USD*D$14+DEAL_TXN_COSTS),MAX(0,CG_CASH+ERO_CASH-DEAL_MIN_CASH))*DEAL_CASH_YIELD*(1-DEAL_TAX))/(CG_SHARES+(ERO_SHARES*DEAL_OFFER_CAD*(1-D$14)/CG_PRICE_CAD))/CG_EPS_2028-1,"n/a")</f>
        <v>0.31339664089954</v>
      </c>
      <c r="E16" s="53" t="n">
        <f aca="false">IFERROR((CG_NI_2028+ERO_NI_2028+$B16*DEAL_PHASE_Y2*(1-DEAL_TAX)-((DEAL_EQUITY_USD*E$14+DEAL_TXN_COSTS)-MIN((DEAL_EQUITY_USD*E$14+DEAL_TXN_COSTS),MAX(0,CG_CASH+ERO_CASH-DEAL_MIN_CASH)))*DEAL_DEBT_RATE*(1-DEAL_TAX)-MIN((DEAL_EQUITY_USD*E$14+DEAL_TXN_COSTS),MAX(0,CG_CASH+ERO_CASH-DEAL_MIN_CASH))*DEAL_CASH_YIELD*(1-DEAL_TAX))/(CG_SHARES+(ERO_SHARES*DEAL_OFFER_CAD*(1-E$14)/CG_PRICE_CAD))/CG_EPS_2028-1,"n/a")</f>
        <v>0.324974338358909</v>
      </c>
      <c r="F16" s="53" t="n">
        <f aca="false">IFERROR((CG_NI_2028+ERO_NI_2028+$B16*DEAL_PHASE_Y2*(1-DEAL_TAX)-((DEAL_EQUITY_USD*F$14+DEAL_TXN_COSTS)-MIN((DEAL_EQUITY_USD*F$14+DEAL_TXN_COSTS),MAX(0,CG_CASH+ERO_CASH-DEAL_MIN_CASH)))*DEAL_DEBT_RATE*(1-DEAL_TAX)-MIN((DEAL_EQUITY_USD*F$14+DEAL_TXN_COSTS),MAX(0,CG_CASH+ERO_CASH-DEAL_MIN_CASH))*DEAL_CASH_YIELD*(1-DEAL_TAX))/(CG_SHARES+(ERO_SHARES*DEAL_OFFER_CAD*(1-F$14)/CG_PRICE_CAD))/CG_EPS_2028-1,"n/a")</f>
        <v>0.337966642683496</v>
      </c>
      <c r="G16" s="53" t="n">
        <f aca="false">IFERROR((CG_NI_2028+ERO_NI_2028+$B16*DEAL_PHASE_Y2*(1-DEAL_TAX)-((DEAL_EQUITY_USD*G$14+DEAL_TXN_COSTS)-MIN((DEAL_EQUITY_USD*G$14+DEAL_TXN_COSTS),MAX(0,CG_CASH+ERO_CASH-DEAL_MIN_CASH)))*DEAL_DEBT_RATE*(1-DEAL_TAX)-MIN((DEAL_EQUITY_USD*G$14+DEAL_TXN_COSTS),MAX(0,CG_CASH+ERO_CASH-DEAL_MIN_CASH))*DEAL_CASH_YIELD*(1-DEAL_TAX))/(CG_SHARES+(ERO_SHARES*DEAL_OFFER_CAD*(1-G$14)/CG_PRICE_CAD))/CG_EPS_2028-1,"n/a")</f>
        <v>0.360731839191789</v>
      </c>
    </row>
    <row r="17" customFormat="false" ht="15" hidden="false" customHeight="true" outlineLevel="0" collapsed="false">
      <c r="B17" s="14" t="n">
        <v>100</v>
      </c>
      <c r="C17" s="53" t="n">
        <f aca="false">IFERROR((CG_NI_2028+ERO_NI_2028+$B17*DEAL_PHASE_Y2*(1-DEAL_TAX)-((DEAL_EQUITY_USD*C$14+DEAL_TXN_COSTS)-MIN((DEAL_EQUITY_USD*C$14+DEAL_TXN_COSTS),MAX(0,CG_CASH+ERO_CASH-DEAL_MIN_CASH)))*DEAL_DEBT_RATE*(1-DEAL_TAX)-MIN((DEAL_EQUITY_USD*C$14+DEAL_TXN_COSTS),MAX(0,CG_CASH+ERO_CASH-DEAL_MIN_CASH))*DEAL_CASH_YIELD*(1-DEAL_TAX))/(CG_SHARES+(ERO_SHARES*DEAL_OFFER_CAD*(1-C$14)/CG_PRICE_CAD))/CG_EPS_2028-1,"n/a")</f>
        <v>0.398815765190419</v>
      </c>
      <c r="D17" s="53" t="n">
        <f aca="false">IFERROR((CG_NI_2028+ERO_NI_2028+$B17*DEAL_PHASE_Y2*(1-DEAL_TAX)-((DEAL_EQUITY_USD*D$14+DEAL_TXN_COSTS)-MIN((DEAL_EQUITY_USD*D$14+DEAL_TXN_COSTS),MAX(0,CG_CASH+ERO_CASH-DEAL_MIN_CASH)))*DEAL_DEBT_RATE*(1-DEAL_TAX)-MIN((DEAL_EQUITY_USD*D$14+DEAL_TXN_COSTS),MAX(0,CG_CASH+ERO_CASH-DEAL_MIN_CASH))*DEAL_CASH_YIELD*(1-DEAL_TAX))/(CG_SHARES+(ERO_SHARES*DEAL_OFFER_CAD*(1-D$14)/CG_PRICE_CAD))/CG_EPS_2028-1,"n/a")</f>
        <v>0.437392051248058</v>
      </c>
      <c r="E17" s="53" t="n">
        <f aca="false">IFERROR((CG_NI_2028+ERO_NI_2028+$B17*DEAL_PHASE_Y2*(1-DEAL_TAX)-((DEAL_EQUITY_USD*E$14+DEAL_TXN_COSTS)-MIN((DEAL_EQUITY_USD*E$14+DEAL_TXN_COSTS),MAX(0,CG_CASH+ERO_CASH-DEAL_MIN_CASH)))*DEAL_DEBT_RATE*(1-DEAL_TAX)-MIN((DEAL_EQUITY_USD*E$14+DEAL_TXN_COSTS),MAX(0,CG_CASH+ERO_CASH-DEAL_MIN_CASH))*DEAL_CASH_YIELD*(1-DEAL_TAX))/(CG_SHARES+(ERO_SHARES*DEAL_OFFER_CAD*(1-E$14)/CG_PRICE_CAD))/CG_EPS_2028-1,"n/a")</f>
        <v>0.456108729008563</v>
      </c>
      <c r="F17" s="53" t="n">
        <f aca="false">IFERROR((CG_NI_2028+ERO_NI_2028+$B17*DEAL_PHASE_Y2*(1-DEAL_TAX)-((DEAL_EQUITY_USD*F$14+DEAL_TXN_COSTS)-MIN((DEAL_EQUITY_USD*F$14+DEAL_TXN_COSTS),MAX(0,CG_CASH+ERO_CASH-DEAL_MIN_CASH)))*DEAL_DEBT_RATE*(1-DEAL_TAX)-MIN((DEAL_EQUITY_USD*F$14+DEAL_TXN_COSTS),MAX(0,CG_CASH+ERO_CASH-DEAL_MIN_CASH))*DEAL_CASH_YIELD*(1-DEAL_TAX))/(CG_SHARES+(ERO_SHARES*DEAL_OFFER_CAD*(1-F$14)/CG_PRICE_CAD))/CG_EPS_2028-1,"n/a")</f>
        <v>0.477112281248817</v>
      </c>
      <c r="G17" s="53" t="n">
        <f aca="false">IFERROR((CG_NI_2028+ERO_NI_2028+$B17*DEAL_PHASE_Y2*(1-DEAL_TAX)-((DEAL_EQUITY_USD*G$14+DEAL_TXN_COSTS)-MIN((DEAL_EQUITY_USD*G$14+DEAL_TXN_COSTS),MAX(0,CG_CASH+ERO_CASH-DEAL_MIN_CASH)))*DEAL_DEBT_RATE*(1-DEAL_TAX)-MIN((DEAL_EQUITY_USD*G$14+DEAL_TXN_COSTS),MAX(0,CG_CASH+ERO_CASH-DEAL_MIN_CASH))*DEAL_CASH_YIELD*(1-DEAL_TAX))/(CG_SHARES+(ERO_SHARES*DEAL_OFFER_CAD*(1-G$14)/CG_PRICE_CAD))/CG_EPS_2028-1,"n/a")</f>
        <v>0.513914836221049</v>
      </c>
    </row>
    <row r="18" customFormat="false" ht="15" hidden="false" customHeight="true" outlineLevel="0" collapsed="false">
      <c r="B18" s="14" t="n">
        <v>155</v>
      </c>
      <c r="C18" s="53" t="n">
        <f aca="false">IFERROR((CG_NI_2028+ERO_NI_2028+$B18*DEAL_PHASE_Y2*(1-DEAL_TAX)-((DEAL_EQUITY_USD*C$14+DEAL_TXN_COSTS)-MIN((DEAL_EQUITY_USD*C$14+DEAL_TXN_COSTS),MAX(0,CG_CASH+ERO_CASH-DEAL_MIN_CASH)))*DEAL_DEBT_RATE*(1-DEAL_TAX)-MIN((DEAL_EQUITY_USD*C$14+DEAL_TXN_COSTS),MAX(0,CG_CASH+ERO_CASH-DEAL_MIN_CASH))*DEAL_CASH_YIELD*(1-DEAL_TAX))/(CG_SHARES+(ERO_SHARES*DEAL_OFFER_CAD*(1-C$14)/CG_PRICE_CAD))/CG_EPS_2028-1,"n/a")</f>
        <v>0.524913537742866</v>
      </c>
      <c r="D18" s="53" t="n">
        <f aca="false">IFERROR((CG_NI_2028+ERO_NI_2028+$B18*DEAL_PHASE_Y2*(1-DEAL_TAX)-((DEAL_EQUITY_USD*D$14+DEAL_TXN_COSTS)-MIN((DEAL_EQUITY_USD*D$14+DEAL_TXN_COSTS),MAX(0,CG_CASH+ERO_CASH-DEAL_MIN_CASH)))*DEAL_DEBT_RATE*(1-DEAL_TAX)-MIN((DEAL_EQUITY_USD*D$14+DEAL_TXN_COSTS),MAX(0,CG_CASH+ERO_CASH-DEAL_MIN_CASH))*DEAL_CASH_YIELD*(1-DEAL_TAX))/(CG_SHARES+(ERO_SHARES*DEAL_OFFER_CAD*(1-D$14)/CG_PRICE_CAD))/CG_EPS_2028-1,"n/a")</f>
        <v>0.573787002631427</v>
      </c>
      <c r="E18" s="53" t="n">
        <f aca="false">IFERROR((CG_NI_2028+ERO_NI_2028+$B18*DEAL_PHASE_Y2*(1-DEAL_TAX)-((DEAL_EQUITY_USD*E$14+DEAL_TXN_COSTS)-MIN((DEAL_EQUITY_USD*E$14+DEAL_TXN_COSTS),MAX(0,CG_CASH+ERO_CASH-DEAL_MIN_CASH)))*DEAL_DEBT_RATE*(1-DEAL_TAX)-MIN((DEAL_EQUITY_USD*E$14+DEAL_TXN_COSTS),MAX(0,CG_CASH+ERO_CASH-DEAL_MIN_CASH))*DEAL_CASH_YIELD*(1-DEAL_TAX))/(CG_SHARES+(ERO_SHARES*DEAL_OFFER_CAD*(1-E$14)/CG_PRICE_CAD))/CG_EPS_2028-1,"n/a")</f>
        <v>0.600356558723182</v>
      </c>
      <c r="F18" s="53" t="n">
        <f aca="false">IFERROR((CG_NI_2028+ERO_NI_2028+$B18*DEAL_PHASE_Y2*(1-DEAL_TAX)-((DEAL_EQUITY_USD*F$14+DEAL_TXN_COSTS)-MIN((DEAL_EQUITY_USD*F$14+DEAL_TXN_COSTS),MAX(0,CG_CASH+ERO_CASH-DEAL_MIN_CASH)))*DEAL_DEBT_RATE*(1-DEAL_TAX)-MIN((DEAL_EQUITY_USD*F$14+DEAL_TXN_COSTS),MAX(0,CG_CASH+ERO_CASH-DEAL_MIN_CASH))*DEAL_CASH_YIELD*(1-DEAL_TAX))/(CG_SHARES+(ERO_SHARES*DEAL_OFFER_CAD*(1-F$14)/CG_PRICE_CAD))/CG_EPS_2028-1,"n/a")</f>
        <v>0.63017248367067</v>
      </c>
      <c r="G18" s="53" t="n">
        <f aca="false">IFERROR((CG_NI_2028+ERO_NI_2028+$B18*DEAL_PHASE_Y2*(1-DEAL_TAX)-((DEAL_EQUITY_USD*G$14+DEAL_TXN_COSTS)-MIN((DEAL_EQUITY_USD*G$14+DEAL_TXN_COSTS),MAX(0,CG_CASH+ERO_CASH-DEAL_MIN_CASH)))*DEAL_DEBT_RATE*(1-DEAL_TAX)-MIN((DEAL_EQUITY_USD*G$14+DEAL_TXN_COSTS),MAX(0,CG_CASH+ERO_CASH-DEAL_MIN_CASH))*DEAL_CASH_YIELD*(1-DEAL_TAX))/(CG_SHARES+(ERO_SHARES*DEAL_OFFER_CAD*(1-G$14)/CG_PRICE_CAD))/CG_EPS_2028-1,"n/a")</f>
        <v>0.682416132953235</v>
      </c>
    </row>
    <row r="19" customFormat="false" ht="15" hidden="false" customHeight="true" outlineLevel="0" collapsed="false">
      <c r="B19" s="14" t="n">
        <v>200</v>
      </c>
      <c r="C19" s="53" t="n">
        <f aca="false">IFERROR((CG_NI_2028+ERO_NI_2028+$B19*DEAL_PHASE_Y2*(1-DEAL_TAX)-((DEAL_EQUITY_USD*C$14+DEAL_TXN_COSTS)-MIN((DEAL_EQUITY_USD*C$14+DEAL_TXN_COSTS),MAX(0,CG_CASH+ERO_CASH-DEAL_MIN_CASH)))*DEAL_DEBT_RATE*(1-DEAL_TAX)-MIN((DEAL_EQUITY_USD*C$14+DEAL_TXN_COSTS),MAX(0,CG_CASH+ERO_CASH-DEAL_MIN_CASH))*DEAL_CASH_YIELD*(1-DEAL_TAX))/(CG_SHARES+(ERO_SHARES*DEAL_OFFER_CAD*(1-C$14)/CG_PRICE_CAD))/CG_EPS_2028-1,"n/a")</f>
        <v>0.628084442558504</v>
      </c>
      <c r="D19" s="53" t="n">
        <f aca="false">IFERROR((CG_NI_2028+ERO_NI_2028+$B19*DEAL_PHASE_Y2*(1-DEAL_TAX)-((DEAL_EQUITY_USD*D$14+DEAL_TXN_COSTS)-MIN((DEAL_EQUITY_USD*D$14+DEAL_TXN_COSTS),MAX(0,CG_CASH+ERO_CASH-DEAL_MIN_CASH)))*DEAL_DEBT_RATE*(1-DEAL_TAX)-MIN((DEAL_EQUITY_USD*D$14+DEAL_TXN_COSTS),MAX(0,CG_CASH+ERO_CASH-DEAL_MIN_CASH))*DEAL_CASH_YIELD*(1-DEAL_TAX))/(CG_SHARES+(ERO_SHARES*DEAL_OFFER_CAD*(1-D$14)/CG_PRICE_CAD))/CG_EPS_2028-1,"n/a")</f>
        <v>0.685382871945093</v>
      </c>
      <c r="E19" s="53" t="n">
        <f aca="false">IFERROR((CG_NI_2028+ERO_NI_2028+$B19*DEAL_PHASE_Y2*(1-DEAL_TAX)-((DEAL_EQUITY_USD*E$14+DEAL_TXN_COSTS)-MIN((DEAL_EQUITY_USD*E$14+DEAL_TXN_COSTS),MAX(0,CG_CASH+ERO_CASH-DEAL_MIN_CASH)))*DEAL_DEBT_RATE*(1-DEAL_TAX)-MIN((DEAL_EQUITY_USD*E$14+DEAL_TXN_COSTS),MAX(0,CG_CASH+ERO_CASH-DEAL_MIN_CASH))*DEAL_CASH_YIELD*(1-DEAL_TAX))/(CG_SHARES+(ERO_SHARES*DEAL_OFFER_CAD*(1-E$14)/CG_PRICE_CAD))/CG_EPS_2028-1,"n/a")</f>
        <v>0.718377510307871</v>
      </c>
      <c r="F19" s="53" t="n">
        <f aca="false">IFERROR((CG_NI_2028+ERO_NI_2028+$B19*DEAL_PHASE_Y2*(1-DEAL_TAX)-((DEAL_EQUITY_USD*F$14+DEAL_TXN_COSTS)-MIN((DEAL_EQUITY_USD*F$14+DEAL_TXN_COSTS),MAX(0,CG_CASH+ERO_CASH-DEAL_MIN_CASH)))*DEAL_DEBT_RATE*(1-DEAL_TAX)-MIN((DEAL_EQUITY_USD*F$14+DEAL_TXN_COSTS),MAX(0,CG_CASH+ERO_CASH-DEAL_MIN_CASH))*DEAL_CASH_YIELD*(1-DEAL_TAX))/(CG_SHARES+(ERO_SHARES*DEAL_OFFER_CAD*(1-F$14)/CG_PRICE_CAD))/CG_EPS_2028-1,"n/a")</f>
        <v>0.755403558379459</v>
      </c>
      <c r="G19" s="53" t="n">
        <f aca="false">IFERROR((CG_NI_2028+ERO_NI_2028+$B19*DEAL_PHASE_Y2*(1-DEAL_TAX)-((DEAL_EQUITY_USD*G$14+DEAL_TXN_COSTS)-MIN((DEAL_EQUITY_USD*G$14+DEAL_TXN_COSTS),MAX(0,CG_CASH+ERO_CASH-DEAL_MIN_CASH)))*DEAL_DEBT_RATE*(1-DEAL_TAX)-MIN((DEAL_EQUITY_USD*G$14+DEAL_TXN_COSTS),MAX(0,CG_CASH+ERO_CASH-DEAL_MIN_CASH))*DEAL_CASH_YIELD*(1-DEAL_TAX))/(CG_SHARES+(ERO_SHARES*DEAL_OFFER_CAD*(1-G$14)/CG_PRICE_CAD))/CG_EPS_2028-1,"n/a")</f>
        <v>0.820280830279569</v>
      </c>
    </row>
    <row r="21" customFormat="false" ht="15" hidden="false" customHeight="true" outlineLevel="0" collapsed="false">
      <c r="B21" s="13" t="s">
        <v>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5" min="3" style="1" width="12"/>
    <col collapsed="false" customWidth="true" hidden="false" outlineLevel="0" max="6" min="6" style="1" width="80"/>
  </cols>
  <sheetData>
    <row r="1" customFormat="false" ht="17.25" hidden="false" customHeight="true" outlineLevel="0" collapsed="false">
      <c r="B1" s="2" t="s">
        <v>532</v>
      </c>
    </row>
    <row r="2" customFormat="false" ht="15" hidden="false" customHeight="true" outlineLevel="0" collapsed="false">
      <c r="B2" s="3" t="s">
        <v>533</v>
      </c>
    </row>
    <row r="4" customFormat="false" ht="15" hidden="false" customHeight="true" outlineLevel="0" collapsed="false">
      <c r="B4" s="4" t="s">
        <v>534</v>
      </c>
      <c r="C4" s="4" t="s">
        <v>535</v>
      </c>
      <c r="D4" s="4" t="s">
        <v>536</v>
      </c>
      <c r="E4" s="4" t="s">
        <v>537</v>
      </c>
      <c r="F4" s="4" t="s">
        <v>384</v>
      </c>
    </row>
    <row r="5" customFormat="false" ht="15" hidden="false" customHeight="true" outlineLevel="0" collapsed="false">
      <c r="B5" s="6" t="s">
        <v>538</v>
      </c>
      <c r="C5" s="19" t="n">
        <f aca="false">Market!$M$6</f>
        <v>27.22</v>
      </c>
      <c r="D5" s="19" t="n">
        <f aca="false">Market!$N$6</f>
        <v>56.62</v>
      </c>
      <c r="E5" s="28" t="n">
        <f aca="false">DEAL_OFFER_CAD</f>
        <v>54.639</v>
      </c>
      <c r="F5" s="13" t="s">
        <v>258</v>
      </c>
    </row>
    <row r="6" customFormat="false" ht="15" hidden="false" customHeight="true" outlineLevel="0" collapsed="false">
      <c r="B6" s="6" t="s">
        <v>539</v>
      </c>
      <c r="C6" s="19" t="n">
        <f aca="false">Market!$O$6</f>
        <v>47</v>
      </c>
      <c r="D6" s="19" t="n">
        <f aca="false">Market!$Q$6</f>
        <v>68</v>
      </c>
      <c r="E6" s="28" t="n">
        <f aca="false">DEAL_OFFER_CAD</f>
        <v>54.639</v>
      </c>
      <c r="F6" s="13" t="s">
        <v>540</v>
      </c>
    </row>
    <row r="7" customFormat="false" ht="15" hidden="false" customHeight="true" outlineLevel="0" collapsed="false">
      <c r="B7" s="6" t="s">
        <v>541</v>
      </c>
      <c r="C7" s="19" t="n">
        <f aca="false">((COMPS_EV_EBITDA_Q1*Market!$J$6)-DEAL_NET_DEBT)/ERO_SHARES/FX_SPOT</f>
        <v>25.431253104533</v>
      </c>
      <c r="D7" s="19" t="n">
        <f aca="false">((COMPS_EV_EBITDA_Q3*Market!$J$6)-DEAL_NET_DEBT)/ERO_SHARES/FX_SPOT</f>
        <v>51.0977822596335</v>
      </c>
      <c r="E7" s="28" t="n">
        <f aca="false">DEAL_OFFER_CAD</f>
        <v>54.639</v>
      </c>
      <c r="F7" s="13" t="s">
        <v>542</v>
      </c>
    </row>
    <row r="8" customFormat="false" ht="15" hidden="false" customHeight="true" outlineLevel="0" collapsed="false">
      <c r="B8" s="6" t="s">
        <v>543</v>
      </c>
      <c r="C8" s="19" t="n">
        <f aca="false">COMPS_PCF_Q1*Market!$K$6/ERO_SHARES/FX_SPOT</f>
        <v>37.6317523584914</v>
      </c>
      <c r="D8" s="19" t="n">
        <f aca="false">COMPS_PCF_Q3*Market!$K$6/ERO_SHARES/FX_SPOT</f>
        <v>69.8467027505483</v>
      </c>
      <c r="E8" s="28" t="n">
        <f aca="false">DEAL_OFFER_CAD</f>
        <v>54.639</v>
      </c>
      <c r="F8" s="13" t="s">
        <v>544</v>
      </c>
    </row>
    <row r="9" customFormat="false" ht="15" hidden="false" customHeight="true" outlineLevel="0" collapsed="false">
      <c r="B9" s="6" t="s">
        <v>545</v>
      </c>
      <c r="C9" s="19" t="n">
        <f aca="false">((COMPS_EVLB_Q1*Comps!$L$6*2204.62)-DEAL_NET_DEBT)/ERO_SHARES/FX_SPOT</f>
        <v>15.1910241975676</v>
      </c>
      <c r="D9" s="19" t="n">
        <f aca="false">((COMPS_EVLB_Q3*Comps!$L$6*2204.62)-DEAL_NET_DEBT)/ERO_SHARES/FX_SPOT</f>
        <v>28.5875003061129</v>
      </c>
      <c r="E9" s="28" t="n">
        <f aca="false">DEAL_OFFER_CAD</f>
        <v>54.639</v>
      </c>
      <c r="F9" s="13" t="s">
        <v>546</v>
      </c>
    </row>
    <row r="10" customFormat="false" ht="15" hidden="false" customHeight="true" outlineLevel="0" collapsed="false">
      <c r="B10" s="6" t="s">
        <v>547</v>
      </c>
      <c r="C10" s="19" t="n">
        <f aca="false">DEAL_UNAFFECTED*(1+PREC_PREM_Q1)</f>
        <v>54.639</v>
      </c>
      <c r="D10" s="19" t="n">
        <f aca="false">DEAL_UNAFFECTED*(1+PREC_PREM_Q3)</f>
        <v>57.5811</v>
      </c>
      <c r="E10" s="28" t="n">
        <f aca="false">DEAL_OFFER_CAD</f>
        <v>54.639</v>
      </c>
      <c r="F10" s="13" t="s">
        <v>548</v>
      </c>
    </row>
    <row r="11" customFormat="false" ht="15" hidden="false" customHeight="true" outlineLevel="0" collapsed="false">
      <c r="B11" s="6" t="s">
        <v>549</v>
      </c>
      <c r="C11" s="19" t="n">
        <f aca="false">MIN(Scenarios!$I$6*Scenarios!$J$6,Scenarios!$I$7*Scenarios!$J$7)</f>
        <v>42.4020702465763</v>
      </c>
      <c r="D11" s="19" t="n">
        <f aca="false">MAX(Scenarios!$I$6*Scenarios!$J$6,Scenarios!$I$7*Scenarios!$J$7)</f>
        <v>47.7984836198539</v>
      </c>
      <c r="E11" s="28" t="n">
        <f aca="false">DEAL_OFFER_CAD</f>
        <v>54.639</v>
      </c>
      <c r="F11" s="13" t="s">
        <v>550</v>
      </c>
    </row>
    <row r="12" customFormat="false" ht="15" hidden="false" customHeight="true" outlineLevel="0" collapsed="false">
      <c r="B12" s="6" t="s">
        <v>551</v>
      </c>
      <c r="C12" s="19" t="n">
        <f aca="false">MIN(Scenarios!$I$6,Scenarios!$I$7)</f>
        <v>17.803026148113</v>
      </c>
      <c r="D12" s="19" t="n">
        <f aca="false">MAX(Scenarios!$I$6,Scenarios!$I$7)</f>
        <v>34.4824555619433</v>
      </c>
      <c r="E12" s="28" t="n">
        <f aca="false">DEAL_OFFER_CAD</f>
        <v>54.639</v>
      </c>
      <c r="F12" s="13" t="s">
        <v>552</v>
      </c>
    </row>
    <row r="14" customFormat="false" ht="15" hidden="false" customHeight="true" outlineLevel="0" collapsed="false">
      <c r="B14" s="5" t="s">
        <v>553</v>
      </c>
      <c r="C14" s="59" t="n">
        <f aca="false">DEAL_OFFER_CAD</f>
        <v>54.639</v>
      </c>
    </row>
    <row r="15" customFormat="false" ht="15" hidden="false" customHeight="true" outlineLevel="0" collapsed="false">
      <c r="B15" s="5" t="s">
        <v>554</v>
      </c>
      <c r="C15" s="28" t="n">
        <f aca="false">DEAL_UNAFFECTED</f>
        <v>42.03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60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8" min="7" style="1" width="50"/>
    <col collapsed="false" customWidth="true" hidden="false" outlineLevel="0" max="9" min="9" style="1" width="40"/>
  </cols>
  <sheetData>
    <row r="1" customFormat="false" ht="17.25" hidden="false" customHeight="true" outlineLevel="0" collapsed="false">
      <c r="B1" s="2" t="s">
        <v>28</v>
      </c>
    </row>
    <row r="2" customFormat="false" ht="15" hidden="false" customHeight="true" outlineLevel="0" collapsed="false">
      <c r="B2" s="3" t="s">
        <v>555</v>
      </c>
    </row>
    <row r="4" customFormat="false" ht="15" hidden="false" customHeight="true" outlineLevel="0" collapsed="false">
      <c r="B4" s="4" t="s">
        <v>556</v>
      </c>
      <c r="C4" s="4" t="s">
        <v>557</v>
      </c>
      <c r="D4" s="4" t="s">
        <v>558</v>
      </c>
      <c r="E4" s="4" t="s">
        <v>559</v>
      </c>
      <c r="F4" s="4" t="s">
        <v>560</v>
      </c>
      <c r="G4" s="4" t="s">
        <v>561</v>
      </c>
      <c r="H4" s="4" t="s">
        <v>562</v>
      </c>
      <c r="I4" s="4" t="s">
        <v>563</v>
      </c>
    </row>
    <row r="5" customFormat="false" ht="15" hidden="false" customHeight="true" outlineLevel="0" collapsed="false">
      <c r="B5" s="6" t="s">
        <v>564</v>
      </c>
      <c r="C5" s="6" t="s">
        <v>102</v>
      </c>
      <c r="D5" s="6" t="s">
        <v>565</v>
      </c>
      <c r="E5" s="6" t="s">
        <v>566</v>
      </c>
      <c r="F5" s="6" t="s">
        <v>567</v>
      </c>
      <c r="G5" s="6" t="s">
        <v>568</v>
      </c>
      <c r="H5" s="6" t="s">
        <v>569</v>
      </c>
      <c r="I5" s="6" t="s">
        <v>570</v>
      </c>
    </row>
    <row r="6" customFormat="false" ht="15" hidden="false" customHeight="true" outlineLevel="0" collapsed="false">
      <c r="B6" s="6" t="s">
        <v>571</v>
      </c>
      <c r="C6" s="6" t="s">
        <v>102</v>
      </c>
      <c r="D6" s="6" t="s">
        <v>572</v>
      </c>
      <c r="E6" s="6" t="s">
        <v>573</v>
      </c>
      <c r="F6" s="6" t="s">
        <v>574</v>
      </c>
      <c r="G6" s="6" t="s">
        <v>575</v>
      </c>
      <c r="H6" s="6" t="s">
        <v>576</v>
      </c>
      <c r="I6" s="6" t="s">
        <v>577</v>
      </c>
    </row>
    <row r="7" customFormat="false" ht="15" hidden="false" customHeight="true" outlineLevel="0" collapsed="false">
      <c r="B7" s="6" t="s">
        <v>578</v>
      </c>
      <c r="C7" s="6" t="s">
        <v>102</v>
      </c>
      <c r="D7" s="6" t="s">
        <v>579</v>
      </c>
      <c r="E7" s="6" t="s">
        <v>580</v>
      </c>
      <c r="F7" s="6" t="s">
        <v>581</v>
      </c>
      <c r="G7" s="6" t="s">
        <v>582</v>
      </c>
      <c r="H7" s="6" t="s">
        <v>583</v>
      </c>
      <c r="I7" s="6" t="s">
        <v>584</v>
      </c>
    </row>
    <row r="8" customFormat="false" ht="15" hidden="false" customHeight="true" outlineLevel="0" collapsed="false">
      <c r="B8" s="6" t="s">
        <v>585</v>
      </c>
      <c r="C8" s="6" t="s">
        <v>586</v>
      </c>
      <c r="D8" s="6" t="s">
        <v>587</v>
      </c>
      <c r="E8" s="6" t="s">
        <v>588</v>
      </c>
      <c r="F8" s="6" t="s">
        <v>589</v>
      </c>
      <c r="G8" s="6" t="s">
        <v>590</v>
      </c>
      <c r="H8" s="6" t="s">
        <v>591</v>
      </c>
      <c r="I8" s="6" t="s">
        <v>592</v>
      </c>
    </row>
    <row r="9" customFormat="false" ht="15" hidden="false" customHeight="true" outlineLevel="0" collapsed="false">
      <c r="B9" s="6" t="s">
        <v>593</v>
      </c>
      <c r="C9" s="6" t="s">
        <v>104</v>
      </c>
      <c r="D9" s="6" t="s">
        <v>594</v>
      </c>
      <c r="E9" s="6" t="s">
        <v>595</v>
      </c>
      <c r="F9" s="6" t="s">
        <v>567</v>
      </c>
      <c r="G9" s="6" t="s">
        <v>596</v>
      </c>
      <c r="H9" s="6" t="s">
        <v>597</v>
      </c>
      <c r="I9" s="6" t="s">
        <v>598</v>
      </c>
    </row>
    <row r="10" customFormat="false" ht="15" hidden="false" customHeight="true" outlineLevel="0" collapsed="false">
      <c r="B10" s="6" t="s">
        <v>599</v>
      </c>
      <c r="C10" s="6" t="s">
        <v>104</v>
      </c>
      <c r="D10" s="6" t="s">
        <v>600</v>
      </c>
      <c r="E10" s="6" t="s">
        <v>566</v>
      </c>
      <c r="F10" s="6" t="s">
        <v>601</v>
      </c>
      <c r="G10" s="6" t="s">
        <v>602</v>
      </c>
      <c r="H10" s="6" t="s">
        <v>603</v>
      </c>
      <c r="I10" s="6" t="s">
        <v>604</v>
      </c>
    </row>
    <row r="11" customFormat="false" ht="15" hidden="false" customHeight="true" outlineLevel="0" collapsed="false">
      <c r="B11" s="6" t="s">
        <v>605</v>
      </c>
      <c r="C11" s="6" t="s">
        <v>104</v>
      </c>
      <c r="D11" s="6" t="s">
        <v>606</v>
      </c>
      <c r="E11" s="6" t="s">
        <v>573</v>
      </c>
      <c r="F11" s="6" t="s">
        <v>607</v>
      </c>
      <c r="G11" s="6" t="s">
        <v>608</v>
      </c>
      <c r="H11" s="6" t="s">
        <v>609</v>
      </c>
      <c r="I11" s="6" t="s">
        <v>610</v>
      </c>
    </row>
    <row r="12" customFormat="false" ht="15" hidden="false" customHeight="true" outlineLevel="0" collapsed="false">
      <c r="B12" s="6" t="s">
        <v>611</v>
      </c>
      <c r="C12" s="6" t="s">
        <v>104</v>
      </c>
      <c r="D12" s="6" t="s">
        <v>612</v>
      </c>
      <c r="E12" s="6" t="s">
        <v>613</v>
      </c>
      <c r="F12" s="6" t="s">
        <v>614</v>
      </c>
      <c r="G12" s="6" t="s">
        <v>615</v>
      </c>
      <c r="H12" s="6" t="s">
        <v>616</v>
      </c>
      <c r="I12" s="6" t="s">
        <v>617</v>
      </c>
    </row>
    <row r="13" customFormat="false" ht="15" hidden="false" customHeight="true" outlineLevel="0" collapsed="false">
      <c r="B13" s="6" t="s">
        <v>618</v>
      </c>
      <c r="C13" s="6" t="s">
        <v>104</v>
      </c>
      <c r="D13" s="6" t="s">
        <v>619</v>
      </c>
      <c r="E13" s="6" t="s">
        <v>580</v>
      </c>
      <c r="F13" s="6" t="s">
        <v>567</v>
      </c>
      <c r="G13" s="6" t="s">
        <v>620</v>
      </c>
      <c r="H13" s="6" t="s">
        <v>621</v>
      </c>
      <c r="I13" s="6" t="s">
        <v>584</v>
      </c>
    </row>
    <row r="14" customFormat="false" ht="15" hidden="false" customHeight="true" outlineLevel="0" collapsed="false">
      <c r="B14" s="6" t="s">
        <v>622</v>
      </c>
      <c r="C14" s="6" t="s">
        <v>104</v>
      </c>
      <c r="D14" s="6" t="s">
        <v>623</v>
      </c>
      <c r="E14" s="6" t="s">
        <v>613</v>
      </c>
      <c r="F14" s="6" t="s">
        <v>581</v>
      </c>
      <c r="G14" s="6" t="s">
        <v>624</v>
      </c>
      <c r="H14" s="6" t="s">
        <v>625</v>
      </c>
      <c r="I14" s="6" t="s">
        <v>584</v>
      </c>
    </row>
    <row r="15" customFormat="false" ht="15" hidden="false" customHeight="true" outlineLevel="0" collapsed="false">
      <c r="B15" s="6" t="s">
        <v>626</v>
      </c>
      <c r="C15" s="6" t="s">
        <v>627</v>
      </c>
      <c r="D15" s="6" t="s">
        <v>628</v>
      </c>
      <c r="E15" s="6" t="s">
        <v>83</v>
      </c>
      <c r="F15" s="6" t="s">
        <v>629</v>
      </c>
      <c r="G15" s="6" t="s">
        <v>630</v>
      </c>
      <c r="H15" s="6" t="s">
        <v>631</v>
      </c>
      <c r="I15" s="6" t="s">
        <v>632</v>
      </c>
    </row>
    <row r="18" customFormat="false" ht="15" hidden="false" customHeight="true" outlineLevel="0" collapsed="false">
      <c r="B18" s="10" t="s">
        <v>633</v>
      </c>
      <c r="C18" s="11"/>
      <c r="D18" s="11"/>
      <c r="E18" s="11"/>
      <c r="F18" s="11"/>
      <c r="G18" s="11"/>
      <c r="H18" s="11"/>
      <c r="I18" s="11"/>
    </row>
    <row r="19" customFormat="false" ht="15" hidden="false" customHeight="true" outlineLevel="0" collapsed="false">
      <c r="B19" s="4" t="s">
        <v>634</v>
      </c>
      <c r="C19" s="4" t="s">
        <v>635</v>
      </c>
      <c r="D19" s="4" t="s">
        <v>636</v>
      </c>
      <c r="E19" s="4" t="s">
        <v>637</v>
      </c>
    </row>
    <row r="20" customFormat="false" ht="15" hidden="false" customHeight="true" outlineLevel="0" collapsed="false">
      <c r="B20" s="6" t="s">
        <v>638</v>
      </c>
      <c r="C20" s="6" t="s">
        <v>639</v>
      </c>
      <c r="D20" s="6" t="s">
        <v>604</v>
      </c>
      <c r="E20" s="6" t="s">
        <v>640</v>
      </c>
    </row>
    <row r="21" customFormat="false" ht="15" hidden="false" customHeight="true" outlineLevel="0" collapsed="false">
      <c r="B21" s="6" t="s">
        <v>638</v>
      </c>
      <c r="C21" s="6" t="s">
        <v>641</v>
      </c>
      <c r="D21" s="6" t="s">
        <v>642</v>
      </c>
      <c r="E21" s="6" t="s">
        <v>643</v>
      </c>
    </row>
    <row r="22" customFormat="false" ht="15" hidden="false" customHeight="true" outlineLevel="0" collapsed="false">
      <c r="B22" s="6" t="s">
        <v>638</v>
      </c>
      <c r="C22" s="6" t="s">
        <v>644</v>
      </c>
      <c r="D22" s="6" t="s">
        <v>604</v>
      </c>
      <c r="E22" s="6" t="s">
        <v>645</v>
      </c>
    </row>
    <row r="23" customFormat="false" ht="15" hidden="false" customHeight="true" outlineLevel="0" collapsed="false">
      <c r="B23" s="6" t="s">
        <v>638</v>
      </c>
      <c r="C23" s="6" t="s">
        <v>646</v>
      </c>
      <c r="D23" s="6" t="s">
        <v>647</v>
      </c>
      <c r="E23" s="6" t="s">
        <v>648</v>
      </c>
    </row>
    <row r="24" customFormat="false" ht="15" hidden="false" customHeight="true" outlineLevel="0" collapsed="false">
      <c r="B24" s="6" t="s">
        <v>638</v>
      </c>
      <c r="C24" s="6" t="s">
        <v>649</v>
      </c>
      <c r="D24" s="6" t="s">
        <v>604</v>
      </c>
      <c r="E24" s="6" t="s">
        <v>650</v>
      </c>
    </row>
    <row r="25" customFormat="false" ht="15" hidden="false" customHeight="true" outlineLevel="0" collapsed="false">
      <c r="B25" s="6" t="s">
        <v>638</v>
      </c>
      <c r="C25" s="6" t="s">
        <v>651</v>
      </c>
      <c r="D25" s="6" t="s">
        <v>642</v>
      </c>
      <c r="E25" s="6" t="s">
        <v>652</v>
      </c>
    </row>
    <row r="26" customFormat="false" ht="15" hidden="false" customHeight="true" outlineLevel="0" collapsed="false">
      <c r="B26" s="6" t="s">
        <v>653</v>
      </c>
      <c r="C26" s="6" t="s">
        <v>639</v>
      </c>
      <c r="D26" s="6" t="s">
        <v>604</v>
      </c>
      <c r="E26" s="6" t="s">
        <v>654</v>
      </c>
    </row>
    <row r="27" customFormat="false" ht="15" hidden="false" customHeight="true" outlineLevel="0" collapsed="false">
      <c r="B27" s="6" t="s">
        <v>653</v>
      </c>
      <c r="C27" s="6" t="s">
        <v>655</v>
      </c>
      <c r="D27" s="6" t="s">
        <v>647</v>
      </c>
      <c r="E27" s="6" t="s">
        <v>656</v>
      </c>
    </row>
    <row r="28" customFormat="false" ht="15" hidden="false" customHeight="true" outlineLevel="0" collapsed="false">
      <c r="B28" s="6" t="s">
        <v>73</v>
      </c>
      <c r="C28" s="6" t="s">
        <v>639</v>
      </c>
      <c r="D28" s="6" t="s">
        <v>604</v>
      </c>
      <c r="E28" s="6" t="s">
        <v>657</v>
      </c>
    </row>
    <row r="29" customFormat="false" ht="15" hidden="false" customHeight="true" outlineLevel="0" collapsed="false">
      <c r="B29" s="6" t="s">
        <v>73</v>
      </c>
      <c r="C29" s="6" t="s">
        <v>658</v>
      </c>
      <c r="D29" s="6" t="s">
        <v>642</v>
      </c>
      <c r="E29" s="6" t="s">
        <v>659</v>
      </c>
    </row>
    <row r="30" customFormat="false" ht="15" hidden="false" customHeight="true" outlineLevel="0" collapsed="false">
      <c r="B30" s="6" t="s">
        <v>660</v>
      </c>
      <c r="C30" s="6" t="s">
        <v>661</v>
      </c>
      <c r="D30" s="6" t="s">
        <v>604</v>
      </c>
      <c r="E30" s="6" t="s">
        <v>662</v>
      </c>
    </row>
    <row r="31" customFormat="false" ht="15" hidden="false" customHeight="true" outlineLevel="0" collapsed="false">
      <c r="B31" s="6" t="s">
        <v>660</v>
      </c>
      <c r="C31" s="6" t="s">
        <v>651</v>
      </c>
      <c r="D31" s="6" t="s">
        <v>642</v>
      </c>
      <c r="E31" s="6" t="s">
        <v>663</v>
      </c>
    </row>
    <row r="32" customFormat="false" ht="15" hidden="false" customHeight="true" outlineLevel="0" collapsed="false">
      <c r="B32" s="6" t="s">
        <v>660</v>
      </c>
      <c r="C32" s="6" t="s">
        <v>664</v>
      </c>
      <c r="D32" s="6" t="s">
        <v>647</v>
      </c>
      <c r="E32" s="6" t="s">
        <v>665</v>
      </c>
    </row>
    <row r="33" customFormat="false" ht="15" hidden="false" customHeight="true" outlineLevel="0" collapsed="false">
      <c r="B33" s="6" t="s">
        <v>660</v>
      </c>
      <c r="C33" s="6" t="s">
        <v>666</v>
      </c>
      <c r="D33" s="6" t="s">
        <v>647</v>
      </c>
      <c r="E33" s="6" t="s">
        <v>667</v>
      </c>
    </row>
    <row r="34" customFormat="false" ht="15" hidden="false" customHeight="true" outlineLevel="0" collapsed="false">
      <c r="B34" s="6" t="s">
        <v>668</v>
      </c>
      <c r="C34" s="6" t="s">
        <v>661</v>
      </c>
      <c r="D34" s="6" t="s">
        <v>604</v>
      </c>
      <c r="E34" s="6" t="s">
        <v>669</v>
      </c>
    </row>
    <row r="35" customFormat="false" ht="15" hidden="false" customHeight="true" outlineLevel="0" collapsed="false">
      <c r="B35" s="6" t="s">
        <v>668</v>
      </c>
      <c r="C35" s="6" t="s">
        <v>651</v>
      </c>
      <c r="D35" s="6" t="s">
        <v>642</v>
      </c>
      <c r="E35" s="6" t="s">
        <v>670</v>
      </c>
    </row>
    <row r="36" customFormat="false" ht="15" hidden="false" customHeight="true" outlineLevel="0" collapsed="false">
      <c r="B36" s="6" t="s">
        <v>668</v>
      </c>
      <c r="C36" s="6" t="s">
        <v>671</v>
      </c>
      <c r="D36" s="6" t="s">
        <v>647</v>
      </c>
      <c r="E36" s="6" t="s">
        <v>672</v>
      </c>
    </row>
    <row r="37" customFormat="false" ht="15" hidden="false" customHeight="true" outlineLevel="0" collapsed="false">
      <c r="B37" s="6" t="s">
        <v>668</v>
      </c>
      <c r="C37" s="6" t="s">
        <v>673</v>
      </c>
      <c r="D37" s="6" t="s">
        <v>642</v>
      </c>
      <c r="E37" s="6" t="s">
        <v>674</v>
      </c>
    </row>
    <row r="38" customFormat="false" ht="15" hidden="false" customHeight="true" outlineLevel="0" collapsed="false">
      <c r="B38" s="6" t="s">
        <v>78</v>
      </c>
      <c r="C38" s="6" t="s">
        <v>639</v>
      </c>
      <c r="D38" s="6" t="s">
        <v>642</v>
      </c>
      <c r="E38" s="6" t="s">
        <v>675</v>
      </c>
    </row>
    <row r="39" customFormat="false" ht="15" hidden="false" customHeight="true" outlineLevel="0" collapsed="false">
      <c r="B39" s="6" t="s">
        <v>78</v>
      </c>
      <c r="C39" s="6" t="s">
        <v>676</v>
      </c>
      <c r="D39" s="6" t="s">
        <v>647</v>
      </c>
      <c r="E39" s="6" t="s">
        <v>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2026-10-25T00:23:05Z</dcterms:created>
  <dc:creator>openpyxl</dc:creator>
  <dc:description/>
  <dc:language>en-CA</dc:language>
  <cp:lastModifiedBy/>
  <dcterms:modified xsi:type="dcterms:W3CDTF">2026-10-25T00:23:25Z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